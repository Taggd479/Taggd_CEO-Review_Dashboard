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Clude Data/"/>
    </mc:Choice>
  </mc:AlternateContent>
  <xr:revisionPtr revIDLastSave="1455" documentId="8_{231760F8-40C3-4E52-9138-CD9DD8E2170C}" xr6:coauthVersionLast="47" xr6:coauthVersionMax="47" xr10:uidLastSave="{D2B404CA-36CB-4987-9A65-7DDA74EBADA9}"/>
  <bookViews>
    <workbookView xWindow="-110" yWindow="-110" windowWidth="19420" windowHeight="11500" xr2:uid="{F2C8E0B5-D69E-42FC-A0A4-20379F29D696}"/>
  </bookViews>
  <sheets>
    <sheet name="Sheet1" sheetId="1" r:id="rId1"/>
  </sheets>
  <definedNames>
    <definedName name="_xlnm._FilterDatabase" localSheetId="0" hidden="1">Sheet1!$A$2:$BZ$60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D37" i="1" l="1"/>
  <c r="AZ60" i="1"/>
  <c r="AY60" i="1"/>
  <c r="J60" i="1"/>
  <c r="BA4" i="1"/>
  <c r="BA5" i="1"/>
  <c r="BA6" i="1"/>
  <c r="BA7" i="1"/>
  <c r="BA8" i="1"/>
  <c r="BA9" i="1"/>
  <c r="BA10" i="1"/>
  <c r="BA11" i="1"/>
  <c r="BA12" i="1"/>
  <c r="BA13" i="1"/>
  <c r="BB13" i="1" s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BB37" i="1" s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BB52" i="1" s="1"/>
  <c r="AZ53" i="1"/>
  <c r="AZ54" i="1"/>
  <c r="AZ55" i="1"/>
  <c r="AZ56" i="1"/>
  <c r="AZ57" i="1"/>
  <c r="AZ58" i="1"/>
  <c r="AZ59" i="1"/>
  <c r="BB4" i="1"/>
  <c r="BB5" i="1"/>
  <c r="BB15" i="1"/>
  <c r="BB18" i="1"/>
  <c r="BB19" i="1"/>
  <c r="BB32" i="1"/>
  <c r="BB46" i="1"/>
  <c r="BB47" i="1"/>
  <c r="BA3" i="1"/>
  <c r="AZ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3" i="1"/>
  <c r="AS4" i="1"/>
  <c r="BD4" i="1" s="1"/>
  <c r="AS5" i="1"/>
  <c r="AS6" i="1"/>
  <c r="AS7" i="1"/>
  <c r="BD7" i="1" s="1"/>
  <c r="AS8" i="1"/>
  <c r="AS9" i="1"/>
  <c r="BD9" i="1" s="1"/>
  <c r="AS10" i="1"/>
  <c r="BD10" i="1" s="1"/>
  <c r="AS11" i="1"/>
  <c r="BD11" i="1" s="1"/>
  <c r="AS12" i="1"/>
  <c r="BD12" i="1" s="1"/>
  <c r="AS13" i="1"/>
  <c r="BD13" i="1" s="1"/>
  <c r="AS14" i="1"/>
  <c r="BD14" i="1" s="1"/>
  <c r="AS15" i="1"/>
  <c r="BD15" i="1" s="1"/>
  <c r="AS16" i="1"/>
  <c r="BD16" i="1" s="1"/>
  <c r="AS17" i="1"/>
  <c r="BD17" i="1" s="1"/>
  <c r="AS18" i="1"/>
  <c r="BD18" i="1" s="1"/>
  <c r="AS19" i="1"/>
  <c r="AS20" i="1"/>
  <c r="AS21" i="1"/>
  <c r="BD21" i="1" s="1"/>
  <c r="AS22" i="1"/>
  <c r="AS23" i="1"/>
  <c r="BD23" i="1" s="1"/>
  <c r="AS24" i="1"/>
  <c r="BD24" i="1" s="1"/>
  <c r="AS25" i="1"/>
  <c r="BD25" i="1" s="1"/>
  <c r="AS26" i="1"/>
  <c r="BD26" i="1" s="1"/>
  <c r="AS27" i="1"/>
  <c r="BD27" i="1" s="1"/>
  <c r="AS28" i="1"/>
  <c r="BD28" i="1" s="1"/>
  <c r="AS29" i="1"/>
  <c r="BD29" i="1" s="1"/>
  <c r="AS30" i="1"/>
  <c r="AS31" i="1"/>
  <c r="BD31" i="1" s="1"/>
  <c r="AS32" i="1"/>
  <c r="BD32" i="1" s="1"/>
  <c r="AS33" i="1"/>
  <c r="AS34" i="1"/>
  <c r="BD34" i="1" s="1"/>
  <c r="AS35" i="1"/>
  <c r="BD35" i="1" s="1"/>
  <c r="AS36" i="1"/>
  <c r="AS37" i="1"/>
  <c r="AS38" i="1"/>
  <c r="BD38" i="1" s="1"/>
  <c r="AS39" i="1"/>
  <c r="BD39" i="1" s="1"/>
  <c r="AS40" i="1"/>
  <c r="BD40" i="1" s="1"/>
  <c r="AS41" i="1"/>
  <c r="BD41" i="1" s="1"/>
  <c r="AS42" i="1"/>
  <c r="BD42" i="1" s="1"/>
  <c r="AS43" i="1"/>
  <c r="BD43" i="1" s="1"/>
  <c r="AS44" i="1"/>
  <c r="BD44" i="1" s="1"/>
  <c r="AS45" i="1"/>
  <c r="BD45" i="1" s="1"/>
  <c r="AS46" i="1"/>
  <c r="BD46" i="1" s="1"/>
  <c r="AS47" i="1"/>
  <c r="AS48" i="1"/>
  <c r="BD48" i="1" s="1"/>
  <c r="AS49" i="1"/>
  <c r="BD49" i="1" s="1"/>
  <c r="AS50" i="1"/>
  <c r="AS51" i="1"/>
  <c r="BD51" i="1" s="1"/>
  <c r="AS52" i="1"/>
  <c r="BD52" i="1" s="1"/>
  <c r="AS53" i="1"/>
  <c r="BD53" i="1" s="1"/>
  <c r="AS54" i="1"/>
  <c r="BD54" i="1" s="1"/>
  <c r="AS55" i="1"/>
  <c r="BD55" i="1" s="1"/>
  <c r="AS56" i="1"/>
  <c r="BD56" i="1" s="1"/>
  <c r="AS57" i="1"/>
  <c r="BD57" i="1" s="1"/>
  <c r="AS58" i="1"/>
  <c r="BD58" i="1" s="1"/>
  <c r="AS59" i="1"/>
  <c r="BD59" i="1" s="1"/>
  <c r="AS3" i="1"/>
  <c r="BD3" i="1" s="1"/>
  <c r="BC10" i="1"/>
  <c r="BC11" i="1"/>
  <c r="BC12" i="1"/>
  <c r="BC13" i="1"/>
  <c r="BC14" i="1"/>
  <c r="BC15" i="1"/>
  <c r="BC16" i="1"/>
  <c r="BC17" i="1"/>
  <c r="BC24" i="1"/>
  <c r="BC28" i="1"/>
  <c r="BC29" i="1"/>
  <c r="BC30" i="1"/>
  <c r="BC31" i="1"/>
  <c r="BC43" i="1"/>
  <c r="BC44" i="1"/>
  <c r="BC45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AE61" i="1"/>
  <c r="BC4" i="1"/>
  <c r="BC18" i="1"/>
  <c r="BC25" i="1"/>
  <c r="BC26" i="1"/>
  <c r="BC27" i="1"/>
  <c r="BC32" i="1"/>
  <c r="BC34" i="1"/>
  <c r="BC35" i="1"/>
  <c r="BC36" i="1"/>
  <c r="BC37" i="1"/>
  <c r="BC38" i="1"/>
  <c r="BC39" i="1"/>
  <c r="BC40" i="1"/>
  <c r="BC41" i="1"/>
  <c r="BC42" i="1"/>
  <c r="BC46" i="1"/>
  <c r="BC20" i="1"/>
  <c r="BC22" i="1"/>
  <c r="BC47" i="1"/>
  <c r="BC21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3" i="1"/>
  <c r="BC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3" i="1"/>
  <c r="AD61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3" i="1"/>
  <c r="BC5" i="1"/>
  <c r="BC6" i="1"/>
  <c r="BC7" i="1"/>
  <c r="BC8" i="1"/>
  <c r="BC9" i="1"/>
  <c r="BC19" i="1"/>
  <c r="BC23" i="1"/>
  <c r="BC33" i="1"/>
  <c r="BD50" i="1" l="1"/>
  <c r="BD8" i="1"/>
  <c r="BD20" i="1"/>
  <c r="BD6" i="1"/>
  <c r="BD47" i="1"/>
  <c r="BD33" i="1"/>
  <c r="BD19" i="1"/>
  <c r="BD5" i="1"/>
  <c r="BD22" i="1"/>
  <c r="BD36" i="1"/>
  <c r="BD30" i="1"/>
  <c r="BB12" i="1"/>
  <c r="BB14" i="1"/>
  <c r="BB9" i="1"/>
  <c r="BB8" i="1"/>
  <c r="BB21" i="1"/>
  <c r="BB16" i="1"/>
  <c r="BB11" i="1"/>
  <c r="BB10" i="1"/>
  <c r="BB7" i="1"/>
  <c r="BB20" i="1"/>
  <c r="BB17" i="1"/>
  <c r="BB6" i="1"/>
  <c r="BB3" i="1"/>
  <c r="BB22" i="1"/>
  <c r="BB43" i="1"/>
  <c r="BB29" i="1"/>
  <c r="BB56" i="1"/>
  <c r="BB42" i="1"/>
  <c r="BB28" i="1"/>
  <c r="BB55" i="1"/>
  <c r="BB41" i="1"/>
  <c r="BB27" i="1"/>
  <c r="BB57" i="1"/>
  <c r="BB39" i="1"/>
  <c r="BB38" i="1"/>
  <c r="BB51" i="1"/>
  <c r="BB23" i="1"/>
  <c r="BB36" i="1"/>
  <c r="BB34" i="1"/>
  <c r="BB33" i="1"/>
  <c r="BB59" i="1"/>
  <c r="BB45" i="1"/>
  <c r="BB31" i="1"/>
  <c r="BB54" i="1"/>
  <c r="BB40" i="1"/>
  <c r="BB26" i="1"/>
  <c r="BB53" i="1"/>
  <c r="BB25" i="1"/>
  <c r="BB24" i="1"/>
  <c r="BB50" i="1"/>
  <c r="BB49" i="1"/>
  <c r="BB35" i="1"/>
  <c r="BB48" i="1"/>
  <c r="BB58" i="1"/>
  <c r="BB44" i="1"/>
  <c r="BB30" i="1"/>
  <c r="BR10" i="1"/>
  <c r="BR33" i="1"/>
  <c r="BR23" i="1"/>
  <c r="BR40" i="1"/>
  <c r="BR6" i="1"/>
  <c r="BR25" i="1"/>
  <c r="BR49" i="1"/>
  <c r="BR26" i="1"/>
  <c r="BR9" i="1"/>
  <c r="BR5" i="1"/>
  <c r="BR48" i="1"/>
  <c r="BN14" i="1"/>
  <c r="BR17" i="1"/>
  <c r="BR24" i="1"/>
  <c r="BR29" i="1"/>
  <c r="BR20" i="1"/>
  <c r="BR56" i="1"/>
  <c r="BN16" i="1"/>
  <c r="BN11" i="1"/>
  <c r="BN36" i="1"/>
  <c r="BN21" i="1"/>
  <c r="BR44" i="1"/>
  <c r="BP59" i="1" l="1"/>
  <c r="BP49" i="1"/>
  <c r="BP48" i="1"/>
  <c r="BP46" i="1"/>
  <c r="BP42" i="1"/>
  <c r="BP32" i="1"/>
  <c r="BP26" i="1"/>
  <c r="BP23" i="1"/>
  <c r="BP21" i="1"/>
  <c r="BP20" i="1"/>
  <c r="BP19" i="1"/>
  <c r="BP14" i="1"/>
  <c r="BP13" i="1"/>
  <c r="BP11" i="1"/>
  <c r="BP9" i="1"/>
  <c r="BP3" i="1"/>
  <c r="BP4" i="1"/>
  <c r="BP36" i="1"/>
  <c r="BP31" i="1"/>
  <c r="BP29" i="1"/>
  <c r="BP8" i="1"/>
  <c r="BP7" i="1"/>
  <c r="BP6" i="1"/>
  <c r="BN48" i="1"/>
  <c r="BN23" i="1"/>
  <c r="BN44" i="1"/>
  <c r="BN42" i="1"/>
  <c r="BN32" i="1"/>
  <c r="BN45" i="1"/>
  <c r="BN6" i="1"/>
  <c r="BN7" i="1"/>
</calcChain>
</file>

<file path=xl/sharedStrings.xml><?xml version="1.0" encoding="utf-8"?>
<sst xmlns="http://schemas.openxmlformats.org/spreadsheetml/2006/main" count="742" uniqueCount="122">
  <si>
    <t>Clients</t>
  </si>
  <si>
    <t>Region</t>
  </si>
  <si>
    <t>West</t>
  </si>
  <si>
    <t>Schaeffler</t>
  </si>
  <si>
    <t>Vertiv</t>
  </si>
  <si>
    <t>Hyundai Motor</t>
  </si>
  <si>
    <t>Bridgestone</t>
  </si>
  <si>
    <t>Pfizer</t>
  </si>
  <si>
    <t>Pidilite</t>
  </si>
  <si>
    <t>Birla Paints</t>
  </si>
  <si>
    <t>M&amp;M</t>
  </si>
  <si>
    <t>DP World</t>
  </si>
  <si>
    <t>AMNS</t>
  </si>
  <si>
    <t>Mahindra Holidays</t>
  </si>
  <si>
    <t>Tata Consumer</t>
  </si>
  <si>
    <t>Tata Play</t>
  </si>
  <si>
    <t>Mahindra Finance</t>
  </si>
  <si>
    <t>Atomberg Technologies</t>
  </si>
  <si>
    <t>Ambuja Cement</t>
  </si>
  <si>
    <t>Vertiv Leadership</t>
  </si>
  <si>
    <t>M&amp;M Leadership</t>
  </si>
  <si>
    <t>Hyundai Motor Leadership</t>
  </si>
  <si>
    <t>AMNS Leadership</t>
  </si>
  <si>
    <t>Mahindra Holidays Leadership</t>
  </si>
  <si>
    <t>Q1</t>
  </si>
  <si>
    <t>CM%</t>
  </si>
  <si>
    <t>Cost</t>
  </si>
  <si>
    <t>PPC</t>
  </si>
  <si>
    <t>Rev Pro</t>
  </si>
  <si>
    <t>Q2</t>
  </si>
  <si>
    <t>NeoSoft</t>
  </si>
  <si>
    <t>Q3</t>
  </si>
  <si>
    <t>Q4</t>
  </si>
  <si>
    <t>Total</t>
  </si>
  <si>
    <t>Taggd Rev Productivity</t>
  </si>
  <si>
    <t>Project</t>
  </si>
  <si>
    <t>Honeywell</t>
  </si>
  <si>
    <t>SKF India</t>
  </si>
  <si>
    <t>Siemens (Advatnta &amp; GBS)</t>
  </si>
  <si>
    <t>Siemens Energy</t>
  </si>
  <si>
    <t>HPE</t>
  </si>
  <si>
    <t>Isuzu</t>
  </si>
  <si>
    <t>BITS</t>
  </si>
  <si>
    <t>Wipro</t>
  </si>
  <si>
    <t>Tata Electronics</t>
  </si>
  <si>
    <t>Jindal Stainless</t>
  </si>
  <si>
    <t>Royal Enfield</t>
  </si>
  <si>
    <t>SBI Card</t>
  </si>
  <si>
    <t>Maruti Suzuki(MSIL)</t>
  </si>
  <si>
    <t>Subros Ltd</t>
  </si>
  <si>
    <t>Ashok Leyland</t>
  </si>
  <si>
    <t>Sterling Tools</t>
  </si>
  <si>
    <t>Pernod Ricard</t>
  </si>
  <si>
    <t>Nagarjuna Leadership</t>
  </si>
  <si>
    <t>ABB</t>
  </si>
  <si>
    <t>Siemens Healthnier</t>
  </si>
  <si>
    <t>LEAP India</t>
  </si>
  <si>
    <t>UniCharm</t>
  </si>
  <si>
    <t>Optum</t>
  </si>
  <si>
    <t>Saint Gobain</t>
  </si>
  <si>
    <t>Honeywell Leadership</t>
  </si>
  <si>
    <t>Subros Leadership</t>
  </si>
  <si>
    <t>Siemens Leadership</t>
  </si>
  <si>
    <t>Royal Enfield Leadership</t>
  </si>
  <si>
    <t>Sterling Tools Leadership</t>
  </si>
  <si>
    <t>CG Power</t>
  </si>
  <si>
    <t>Exclusive</t>
  </si>
  <si>
    <t>Middle East</t>
  </si>
  <si>
    <t>HC</t>
  </si>
  <si>
    <t>Bapi</t>
  </si>
  <si>
    <t>Anjli</t>
  </si>
  <si>
    <t>South</t>
  </si>
  <si>
    <t>Mahak</t>
  </si>
  <si>
    <t>Ashish</t>
  </si>
  <si>
    <t>Budget Rev</t>
  </si>
  <si>
    <t>Forecast Rev</t>
  </si>
  <si>
    <t>Internal Governence</t>
  </si>
  <si>
    <t>Managers</t>
  </si>
  <si>
    <t>PH</t>
  </si>
  <si>
    <t>Billing</t>
  </si>
  <si>
    <t>Collection</t>
  </si>
  <si>
    <t>Issue</t>
  </si>
  <si>
    <t>Leaders</t>
  </si>
  <si>
    <t>Manish</t>
  </si>
  <si>
    <t>Subu</t>
  </si>
  <si>
    <t>Metglass</t>
  </si>
  <si>
    <t>Sudha Pandey</t>
  </si>
  <si>
    <t>Kunal</t>
  </si>
  <si>
    <t>Satya</t>
  </si>
  <si>
    <t>Krishna</t>
  </si>
  <si>
    <t>Saurabh</t>
  </si>
  <si>
    <t>Alifia</t>
  </si>
  <si>
    <t>Archana Tarika</t>
  </si>
  <si>
    <t>Parul Jain</t>
  </si>
  <si>
    <t>Lekhana</t>
  </si>
  <si>
    <t>North</t>
  </si>
  <si>
    <t>Reliance</t>
  </si>
  <si>
    <t>Tata Power</t>
  </si>
  <si>
    <t>CollectionAmount overdue &gt;30 Days</t>
  </si>
  <si>
    <t>Issue Status</t>
  </si>
  <si>
    <t>Yes</t>
  </si>
  <si>
    <t>No</t>
  </si>
  <si>
    <t>Account</t>
  </si>
  <si>
    <t>Red Account</t>
  </si>
  <si>
    <t>SLA</t>
  </si>
  <si>
    <t>SLA Status</t>
  </si>
  <si>
    <t>Green</t>
  </si>
  <si>
    <t>Red</t>
  </si>
  <si>
    <t>Top 10</t>
  </si>
  <si>
    <t>Last Year Unbilled Amount</t>
  </si>
  <si>
    <t>Current Year Unbilled Amount</t>
  </si>
  <si>
    <t>Function Head</t>
  </si>
  <si>
    <t>Source Mix</t>
  </si>
  <si>
    <t>RPH</t>
  </si>
  <si>
    <t>Amber</t>
  </si>
  <si>
    <t>Not Reported</t>
  </si>
  <si>
    <t>Greed</t>
  </si>
  <si>
    <t>Account Status</t>
  </si>
  <si>
    <t>Old Account</t>
  </si>
  <si>
    <t>New Account</t>
  </si>
  <si>
    <t>New Sales</t>
  </si>
  <si>
    <t>Nizar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</si>
</sst>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200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4" borderId="1" xfId="0" applyFill="1" applyBorder="1" applyAlignment="1">
      <alignment horizontal="center"/>
    </xf>
    <xf numFmtId="0" fontId="0" fillId="4" borderId="0" xfId="0" applyFill="1"/>
    <xf numFmtId="165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86FD-6DF2-4802-8402-DE850AA85999}">
  <dimension ref="A1:BZ61"/>
  <sheetViews>
    <sheetView tabSelected="1" workbookViewId="0">
      <pane xSplit="1" ySplit="2" topLeftCell="AP3" activePane="bottomRight" state="frozen"/>
      <selection pane="topRight" activeCell="B1" sqref="B1"/>
      <selection pane="bottomLeft" activeCell="A3" sqref="A3"/>
      <selection pane="bottomRight" activeCell="BB3" sqref="BB3"/>
    </sheetView>
  </sheetViews>
  <sheetFormatPr defaultRowHeight="14.5" x14ac:dyDescent="0.35"/>
  <cols>
    <col min="1" max="1" width="25.26953125" bestFit="1" customWidth="1"/>
    <col min="2" max="2" width="9.54296875" customWidth="1"/>
    <col min="3" max="3" width="12.90625" bestFit="1" customWidth="1"/>
    <col min="4" max="4" width="12.90625" customWidth="1"/>
    <col min="5" max="5" width="8.7265625" customWidth="1"/>
    <col min="6" max="6" width="3.6328125" customWidth="1"/>
    <col min="7" max="7" width="10.08984375" customWidth="1"/>
    <col min="8" max="8" width="11.453125" customWidth="1"/>
    <col min="9" max="12" width="8.7265625" customWidth="1"/>
    <col min="13" max="13" width="10.90625" bestFit="1" customWidth="1"/>
    <col min="14" max="14" width="9.90625" bestFit="1" customWidth="1"/>
    <col min="15" max="15" width="19.7265625" customWidth="1"/>
    <col min="16" max="16" width="8.7265625" customWidth="1"/>
    <col min="17" max="17" width="4" customWidth="1"/>
    <col min="18" max="18" width="10.08984375" customWidth="1"/>
    <col min="19" max="19" width="11.453125" customWidth="1"/>
    <col min="20" max="25" width="8.7265625" customWidth="1"/>
    <col min="26" max="26" width="19.7265625" customWidth="1"/>
    <col min="27" max="27" width="8.7265625" customWidth="1"/>
    <col min="29" max="29" width="10.08984375" bestFit="1" customWidth="1"/>
    <col min="30" max="30" width="11.453125" bestFit="1" customWidth="1"/>
    <col min="37" max="37" width="19.7265625" bestFit="1" customWidth="1"/>
    <col min="38" max="38" width="9.36328125" bestFit="1" customWidth="1"/>
    <col min="40" max="40" width="10.08984375" bestFit="1" customWidth="1"/>
    <col min="41" max="41" width="11.453125" bestFit="1" customWidth="1"/>
    <col min="51" max="51" width="10.08984375" bestFit="1" customWidth="1"/>
    <col min="61" max="61" width="4.08984375" customWidth="1"/>
    <col min="64" max="64" width="13.08984375" bestFit="1" customWidth="1"/>
    <col min="65" max="65" width="2.81640625" customWidth="1"/>
    <col min="66" max="66" width="23.08984375" bestFit="1" customWidth="1"/>
    <col min="67" max="67" width="3.7265625" customWidth="1"/>
    <col min="68" max="68" width="26.08984375" bestFit="1" customWidth="1"/>
    <col min="69" max="69" width="4.26953125" customWidth="1"/>
    <col min="70" max="70" width="31.36328125" bestFit="1" customWidth="1"/>
    <col min="71" max="71" width="3.26953125" customWidth="1"/>
    <col min="72" max="72" width="11" bestFit="1" customWidth="1"/>
    <col min="73" max="73" width="2.1796875" customWidth="1"/>
    <col min="74" max="74" width="11" bestFit="1" customWidth="1"/>
    <col min="75" max="75" width="3" customWidth="1"/>
    <col min="77" max="77" width="3.36328125" customWidth="1"/>
  </cols>
  <sheetData>
    <row r="1" spans="1:78" x14ac:dyDescent="0.35">
      <c r="G1" s="26" t="s">
        <v>24</v>
      </c>
      <c r="H1" s="26"/>
      <c r="I1" s="26"/>
      <c r="J1" s="26"/>
      <c r="K1" s="26"/>
      <c r="L1" s="26"/>
      <c r="M1" s="26"/>
      <c r="N1" s="26"/>
      <c r="O1" s="26"/>
      <c r="P1" s="26"/>
      <c r="R1" s="26" t="s">
        <v>29</v>
      </c>
      <c r="S1" s="26"/>
      <c r="T1" s="26"/>
      <c r="U1" s="26"/>
      <c r="V1" s="26"/>
      <c r="W1" s="26"/>
      <c r="X1" s="26"/>
      <c r="Y1" s="26"/>
      <c r="Z1" s="26"/>
      <c r="AA1" s="26"/>
      <c r="AC1" s="26" t="s">
        <v>31</v>
      </c>
      <c r="AD1" s="26"/>
      <c r="AE1" s="26"/>
      <c r="AF1" s="26"/>
      <c r="AG1" s="26"/>
      <c r="AH1" s="26"/>
      <c r="AI1" s="26"/>
      <c r="AJ1" s="26"/>
      <c r="AK1" s="26"/>
      <c r="AL1" s="26"/>
      <c r="AN1" s="26" t="s">
        <v>32</v>
      </c>
      <c r="AO1" s="26"/>
      <c r="AP1" s="26"/>
      <c r="AQ1" s="26"/>
      <c r="AR1" s="26"/>
      <c r="AS1" s="26"/>
      <c r="AT1" s="26"/>
      <c r="AU1" s="26"/>
      <c r="AV1" s="26"/>
      <c r="AW1" s="26"/>
      <c r="AY1" s="27" t="s">
        <v>33</v>
      </c>
      <c r="AZ1" s="27"/>
      <c r="BA1" s="27"/>
      <c r="BB1" s="27"/>
      <c r="BC1" s="27"/>
      <c r="BD1" s="27"/>
      <c r="BE1" s="27"/>
      <c r="BF1" s="27"/>
      <c r="BG1" s="27"/>
      <c r="BH1" s="27"/>
      <c r="BJ1" s="26" t="s">
        <v>76</v>
      </c>
      <c r="BK1" s="26"/>
      <c r="BL1" s="26"/>
      <c r="BN1" s="19" t="s">
        <v>79</v>
      </c>
      <c r="BP1" s="19" t="s">
        <v>79</v>
      </c>
      <c r="BR1" s="19" t="s">
        <v>80</v>
      </c>
      <c r="BT1" s="19" t="s">
        <v>81</v>
      </c>
      <c r="BV1" s="19" t="s">
        <v>102</v>
      </c>
      <c r="BX1" s="20" t="s">
        <v>104</v>
      </c>
      <c r="BZ1" s="20" t="s">
        <v>35</v>
      </c>
    </row>
    <row r="2" spans="1:78" x14ac:dyDescent="0.35">
      <c r="A2" s="1" t="s">
        <v>0</v>
      </c>
      <c r="B2" s="1" t="s">
        <v>82</v>
      </c>
      <c r="C2" s="1" t="s">
        <v>78</v>
      </c>
      <c r="D2" s="1" t="s">
        <v>117</v>
      </c>
      <c r="E2" s="1" t="s">
        <v>1</v>
      </c>
      <c r="F2" s="13"/>
      <c r="G2" s="1" t="s">
        <v>74</v>
      </c>
      <c r="H2" s="1" t="s">
        <v>75</v>
      </c>
      <c r="I2" s="1" t="s">
        <v>26</v>
      </c>
      <c r="J2" s="1" t="s">
        <v>25</v>
      </c>
      <c r="K2" s="1" t="s">
        <v>27</v>
      </c>
      <c r="L2" s="1" t="s">
        <v>68</v>
      </c>
      <c r="M2" s="1" t="s">
        <v>113</v>
      </c>
      <c r="N2" s="1" t="s">
        <v>112</v>
      </c>
      <c r="O2" s="1" t="s">
        <v>34</v>
      </c>
      <c r="P2" s="1" t="s">
        <v>28</v>
      </c>
      <c r="Q2" s="15"/>
      <c r="R2" s="1" t="s">
        <v>74</v>
      </c>
      <c r="S2" s="1" t="s">
        <v>75</v>
      </c>
      <c r="T2" s="1" t="s">
        <v>26</v>
      </c>
      <c r="U2" s="1" t="s">
        <v>25</v>
      </c>
      <c r="V2" s="1" t="s">
        <v>27</v>
      </c>
      <c r="W2" s="1" t="s">
        <v>68</v>
      </c>
      <c r="X2" s="1" t="s">
        <v>113</v>
      </c>
      <c r="Y2" s="1" t="s">
        <v>112</v>
      </c>
      <c r="Z2" s="1" t="s">
        <v>34</v>
      </c>
      <c r="AA2" s="1" t="s">
        <v>28</v>
      </c>
      <c r="AB2" s="9"/>
      <c r="AC2" s="1" t="s">
        <v>74</v>
      </c>
      <c r="AD2" s="1" t="s">
        <v>75</v>
      </c>
      <c r="AE2" s="1" t="s">
        <v>26</v>
      </c>
      <c r="AF2" s="1" t="s">
        <v>25</v>
      </c>
      <c r="AG2" s="1" t="s">
        <v>27</v>
      </c>
      <c r="AH2" s="1" t="s">
        <v>68</v>
      </c>
      <c r="AI2" s="1" t="s">
        <v>113</v>
      </c>
      <c r="AJ2" s="1" t="s">
        <v>112</v>
      </c>
      <c r="AK2" s="1" t="s">
        <v>34</v>
      </c>
      <c r="AL2" s="1" t="s">
        <v>28</v>
      </c>
      <c r="AM2" s="9"/>
      <c r="AN2" s="1" t="s">
        <v>74</v>
      </c>
      <c r="AO2" s="1" t="s">
        <v>75</v>
      </c>
      <c r="AP2" s="1" t="s">
        <v>26</v>
      </c>
      <c r="AQ2" s="1" t="s">
        <v>25</v>
      </c>
      <c r="AR2" s="1" t="s">
        <v>27</v>
      </c>
      <c r="AS2" s="1" t="s">
        <v>68</v>
      </c>
      <c r="AT2" s="1" t="s">
        <v>113</v>
      </c>
      <c r="AU2" s="1" t="s">
        <v>112</v>
      </c>
      <c r="AV2" s="1" t="s">
        <v>34</v>
      </c>
      <c r="AW2" s="1" t="s">
        <v>28</v>
      </c>
      <c r="AX2" s="9"/>
      <c r="AY2" s="1" t="s">
        <v>74</v>
      </c>
      <c r="AZ2" s="1" t="s">
        <v>75</v>
      </c>
      <c r="BA2" s="1" t="s">
        <v>26</v>
      </c>
      <c r="BB2" s="1" t="s">
        <v>25</v>
      </c>
      <c r="BC2" s="1" t="s">
        <v>27</v>
      </c>
      <c r="BD2" s="1" t="s">
        <v>68</v>
      </c>
      <c r="BE2" s="1" t="s">
        <v>113</v>
      </c>
      <c r="BF2" s="1" t="s">
        <v>112</v>
      </c>
      <c r="BG2" s="1" t="s">
        <v>34</v>
      </c>
      <c r="BH2" s="1" t="s">
        <v>28</v>
      </c>
      <c r="BJ2" s="10" t="s">
        <v>77</v>
      </c>
      <c r="BK2" s="10" t="s">
        <v>78</v>
      </c>
      <c r="BL2" s="10" t="s">
        <v>111</v>
      </c>
      <c r="BN2" s="11" t="s">
        <v>109</v>
      </c>
      <c r="BP2" s="11" t="s">
        <v>110</v>
      </c>
      <c r="BR2" s="11" t="s">
        <v>98</v>
      </c>
      <c r="BT2" s="11" t="s">
        <v>99</v>
      </c>
      <c r="BV2" s="11" t="s">
        <v>103</v>
      </c>
      <c r="BX2" s="11" t="s">
        <v>105</v>
      </c>
      <c r="BZ2" s="11" t="s">
        <v>108</v>
      </c>
    </row>
    <row r="3" spans="1:78" x14ac:dyDescent="0.35">
      <c r="A3" s="3" t="s">
        <v>36</v>
      </c>
      <c r="B3" s="2" t="s">
        <v>69</v>
      </c>
      <c r="C3" s="2" t="s">
        <v>69</v>
      </c>
      <c r="D3" s="2" t="s">
        <v>118</v>
      </c>
      <c r="E3" s="2" t="s">
        <v>69</v>
      </c>
      <c r="F3" s="12"/>
      <c r="G3" s="14">
        <v>475</v>
      </c>
      <c r="H3" s="17">
        <v>475</v>
      </c>
      <c r="I3" s="3">
        <v>289.89295097999286</v>
      </c>
      <c r="J3" s="4">
        <f>IFERROR(I3/H3,0)</f>
        <v>0.61030094943156388</v>
      </c>
      <c r="K3" s="3">
        <v>107620.37733721343</v>
      </c>
      <c r="L3" s="17">
        <v>57.333333333333336</v>
      </c>
      <c r="M3" s="17"/>
      <c r="N3" s="6"/>
      <c r="O3" s="6"/>
      <c r="P3" s="7">
        <v>4.3498168498168504</v>
      </c>
      <c r="Q3" s="15"/>
      <c r="R3" s="7">
        <v>440</v>
      </c>
      <c r="S3" s="7">
        <v>440</v>
      </c>
      <c r="T3" s="3">
        <v>236.38224607799216</v>
      </c>
      <c r="U3" s="4">
        <f>IFERROR(T3/S3,0)</f>
        <v>0.5372323774499822</v>
      </c>
      <c r="V3" s="3">
        <v>118382.41507093479</v>
      </c>
      <c r="W3" s="17">
        <v>57.333333333333336</v>
      </c>
      <c r="X3" s="17"/>
      <c r="Y3" s="17"/>
      <c r="Z3" s="3"/>
      <c r="AA3" s="7">
        <v>4.0293040293040301</v>
      </c>
      <c r="AB3" s="15"/>
      <c r="AC3" s="3">
        <v>330</v>
      </c>
      <c r="AD3" s="3">
        <v>330</v>
      </c>
      <c r="AE3" s="3">
        <v>126.38224607799216</v>
      </c>
      <c r="AF3" s="4">
        <v>0.3829765032666429</v>
      </c>
      <c r="AG3" s="3">
        <v>118382.41507093479</v>
      </c>
      <c r="AH3" s="17">
        <v>57.333333333333336</v>
      </c>
      <c r="AI3" s="17"/>
      <c r="AJ3" s="17"/>
      <c r="AK3" s="7"/>
      <c r="AL3" s="7">
        <v>3.0219780219780223</v>
      </c>
      <c r="AM3" s="15"/>
      <c r="AN3" s="17">
        <v>480</v>
      </c>
      <c r="AO3" s="17">
        <v>480</v>
      </c>
      <c r="AP3" s="17">
        <v>276.38224607799214</v>
      </c>
      <c r="AQ3" s="4">
        <v>0.57579634599581697</v>
      </c>
      <c r="AR3" s="3">
        <v>118382.41507093479</v>
      </c>
      <c r="AS3" s="17">
        <f>AH3</f>
        <v>57.333333333333336</v>
      </c>
      <c r="AT3" s="17"/>
      <c r="AU3" s="17"/>
      <c r="AV3" s="3"/>
      <c r="AW3" s="7">
        <v>4.395604395604396</v>
      </c>
      <c r="AX3" s="9"/>
      <c r="AY3" s="17">
        <f>R3+AC3+AN3+G3</f>
        <v>1725</v>
      </c>
      <c r="AZ3" s="17">
        <f>S3+AD3+AO3+H3</f>
        <v>1725</v>
      </c>
      <c r="BA3" s="17">
        <f>T3+AE3+AP3+I3</f>
        <v>929.03968921396938</v>
      </c>
      <c r="BB3" s="4">
        <f>IFERROR(BA3/AZ3,0)</f>
        <v>0.53857373287766341</v>
      </c>
      <c r="BC3" s="3">
        <f t="shared" ref="BC3:BC34" si="0">AVERAGE(K3,V3,AG3,AR3)</f>
        <v>115691.90563750446</v>
      </c>
      <c r="BD3" s="3">
        <f t="shared" ref="BD3:BD34" si="1">AVERAGE(L3,W3,AH3,AS3)</f>
        <v>57.333333333333336</v>
      </c>
      <c r="BE3" s="3"/>
      <c r="BF3" s="3"/>
      <c r="BG3" s="7"/>
      <c r="BH3" s="7">
        <f>AVERAGE(P3,AA3,AL3,AW3)</f>
        <v>3.9491758241758244</v>
      </c>
      <c r="BJ3" s="5" t="s">
        <v>100</v>
      </c>
      <c r="BK3" s="5" t="s">
        <v>100</v>
      </c>
      <c r="BL3" s="5" t="s">
        <v>100</v>
      </c>
      <c r="BP3">
        <f>12000000/100000</f>
        <v>120</v>
      </c>
      <c r="BT3" s="5" t="s">
        <v>101</v>
      </c>
      <c r="BV3" t="s">
        <v>101</v>
      </c>
      <c r="BX3" s="5" t="s">
        <v>106</v>
      </c>
      <c r="BZ3" t="s">
        <v>100</v>
      </c>
    </row>
    <row r="4" spans="1:78" x14ac:dyDescent="0.35">
      <c r="A4" s="3" t="s">
        <v>60</v>
      </c>
      <c r="B4" s="3" t="s">
        <v>69</v>
      </c>
      <c r="C4" s="3" t="s">
        <v>93</v>
      </c>
      <c r="D4" s="2" t="s">
        <v>118</v>
      </c>
      <c r="E4" s="3" t="s">
        <v>69</v>
      </c>
      <c r="F4" s="5"/>
      <c r="G4" s="14">
        <v>5</v>
      </c>
      <c r="H4" s="17">
        <v>9.876199999999999</v>
      </c>
      <c r="I4" s="3">
        <v>-0.52813136392458482</v>
      </c>
      <c r="J4" s="4">
        <f t="shared" ref="J4:J60" si="2">IFERROR(I4/H4,0)</f>
        <v>-5.3475158859134571E-2</v>
      </c>
      <c r="K4" s="3">
        <v>173405.52273207638</v>
      </c>
      <c r="L4" s="17">
        <v>2</v>
      </c>
      <c r="M4" s="17"/>
      <c r="N4" s="6"/>
      <c r="O4" s="3"/>
      <c r="P4" s="7">
        <v>0</v>
      </c>
      <c r="Q4" s="15"/>
      <c r="R4" s="7">
        <v>5</v>
      </c>
      <c r="S4" s="7">
        <v>5</v>
      </c>
      <c r="T4" s="3">
        <v>-6.4447645003170422</v>
      </c>
      <c r="U4" s="4">
        <f t="shared" ref="U4:U59" si="3">IFERROR(T4/S4,0)</f>
        <v>-1.2889529000634083</v>
      </c>
      <c r="V4" s="3">
        <v>190746.07500528404</v>
      </c>
      <c r="W4" s="17">
        <v>2</v>
      </c>
      <c r="X4" s="17"/>
      <c r="Y4" s="17"/>
      <c r="Z4" s="3"/>
      <c r="AA4" s="7">
        <v>0</v>
      </c>
      <c r="AC4" s="3">
        <v>5</v>
      </c>
      <c r="AD4" s="3">
        <v>5</v>
      </c>
      <c r="AE4" s="3">
        <v>-6.4447645003170422</v>
      </c>
      <c r="AF4" s="4">
        <v>-1.2889529000634083</v>
      </c>
      <c r="AG4" s="3">
        <v>190746.07500528404</v>
      </c>
      <c r="AH4" s="17">
        <v>2</v>
      </c>
      <c r="AI4" s="17"/>
      <c r="AJ4" s="17"/>
      <c r="AK4" s="3"/>
      <c r="AL4" s="7">
        <v>0</v>
      </c>
      <c r="AN4" s="17">
        <v>5</v>
      </c>
      <c r="AO4" s="17">
        <v>5</v>
      </c>
      <c r="AP4" s="17">
        <v>-6.4447645003170422</v>
      </c>
      <c r="AQ4" s="4">
        <v>-1.2889529000634083</v>
      </c>
      <c r="AR4" s="3">
        <v>190746.07500528404</v>
      </c>
      <c r="AS4" s="17">
        <f t="shared" ref="AS4:AS59" si="4">AH4</f>
        <v>2</v>
      </c>
      <c r="AT4" s="17"/>
      <c r="AU4" s="17"/>
      <c r="AV4" s="3"/>
      <c r="AW4" s="7">
        <v>0</v>
      </c>
      <c r="AY4" s="17">
        <f t="shared" ref="AY4:AZ60" si="5">R4+AC4+AN4+G4</f>
        <v>20</v>
      </c>
      <c r="AZ4" s="17">
        <f t="shared" ref="AZ4:AZ59" si="6">S4+AD4+AO4+H4</f>
        <v>24.876199999999997</v>
      </c>
      <c r="BA4" s="17">
        <f t="shared" ref="BA4:BA59" si="7">T4+AE4+AP4+I4</f>
        <v>-19.862424864875713</v>
      </c>
      <c r="BB4" s="4">
        <f t="shared" ref="BB4:BB59" si="8">IFERROR(BA4/AZ4,0)</f>
        <v>-0.79845092356853997</v>
      </c>
      <c r="BC4" s="3">
        <f t="shared" si="0"/>
        <v>186410.93693698212</v>
      </c>
      <c r="BD4" s="3">
        <f t="shared" si="1"/>
        <v>2</v>
      </c>
      <c r="BE4" s="3"/>
      <c r="BF4" s="3"/>
      <c r="BG4" s="7"/>
      <c r="BH4" s="7">
        <f t="shared" ref="BH4:BH59" si="9">AVERAGE(P4,AA4,AL4,AW4)</f>
        <v>0</v>
      </c>
      <c r="BJ4" s="5" t="s">
        <v>100</v>
      </c>
      <c r="BK4" s="5" t="s">
        <v>100</v>
      </c>
      <c r="BL4" s="5" t="s">
        <v>100</v>
      </c>
      <c r="BN4" s="21"/>
      <c r="BP4">
        <f>225620/100000</f>
        <v>2.2562000000000002</v>
      </c>
      <c r="BT4" s="5" t="s">
        <v>101</v>
      </c>
      <c r="BV4" t="s">
        <v>101</v>
      </c>
      <c r="BX4" s="5" t="s">
        <v>106</v>
      </c>
      <c r="BZ4" t="s">
        <v>101</v>
      </c>
    </row>
    <row r="5" spans="1:78" x14ac:dyDescent="0.35">
      <c r="A5" s="3" t="s">
        <v>7</v>
      </c>
      <c r="B5" s="3" t="s">
        <v>70</v>
      </c>
      <c r="C5" s="3" t="s">
        <v>86</v>
      </c>
      <c r="D5" s="2" t="s">
        <v>118</v>
      </c>
      <c r="E5" s="3" t="s">
        <v>2</v>
      </c>
      <c r="F5" s="5"/>
      <c r="G5" s="14">
        <v>24</v>
      </c>
      <c r="H5" s="17">
        <v>22.799676599999998</v>
      </c>
      <c r="I5" s="3">
        <v>10.683573396464103</v>
      </c>
      <c r="J5" s="4">
        <f t="shared" si="2"/>
        <v>0.46858442704683384</v>
      </c>
      <c r="K5" s="3">
        <v>100967.52669613245</v>
      </c>
      <c r="L5" s="17">
        <v>4</v>
      </c>
      <c r="M5" s="17"/>
      <c r="N5" s="6"/>
      <c r="O5" s="3"/>
      <c r="P5" s="7">
        <v>2.5332973999999999</v>
      </c>
      <c r="Q5" s="15"/>
      <c r="R5" s="7">
        <v>24</v>
      </c>
      <c r="S5" s="7">
        <v>24</v>
      </c>
      <c r="T5" s="3">
        <v>10.672286476110516</v>
      </c>
      <c r="U5" s="4">
        <f t="shared" si="3"/>
        <v>0.4446786031712715</v>
      </c>
      <c r="V5" s="3">
        <v>111064.27936574571</v>
      </c>
      <c r="W5" s="17">
        <v>4</v>
      </c>
      <c r="X5" s="17"/>
      <c r="Y5" s="17"/>
      <c r="Z5" s="3"/>
      <c r="AA5" s="7">
        <v>2.6666666666666665</v>
      </c>
      <c r="AC5" s="3">
        <v>15</v>
      </c>
      <c r="AD5" s="3">
        <v>15</v>
      </c>
      <c r="AE5" s="3">
        <v>1.6722864761105161</v>
      </c>
      <c r="AF5" s="4">
        <v>0.1114857650740344</v>
      </c>
      <c r="AG5" s="3">
        <v>111064.27936574571</v>
      </c>
      <c r="AH5" s="17">
        <v>4</v>
      </c>
      <c r="AI5" s="17"/>
      <c r="AJ5" s="17"/>
      <c r="AK5" s="3"/>
      <c r="AL5" s="7">
        <v>1.6666666666666667</v>
      </c>
      <c r="AN5" s="17">
        <v>17</v>
      </c>
      <c r="AO5" s="17">
        <v>17</v>
      </c>
      <c r="AP5" s="17">
        <v>3.6722864761105161</v>
      </c>
      <c r="AQ5" s="4">
        <v>0.21601685153591271</v>
      </c>
      <c r="AR5" s="3">
        <v>111064.27936574571</v>
      </c>
      <c r="AS5" s="17">
        <f t="shared" si="4"/>
        <v>4</v>
      </c>
      <c r="AT5" s="17"/>
      <c r="AU5" s="17"/>
      <c r="AV5" s="3"/>
      <c r="AW5" s="7">
        <v>1.8888888888888888</v>
      </c>
      <c r="AY5" s="17">
        <f t="shared" si="5"/>
        <v>80</v>
      </c>
      <c r="AZ5" s="17">
        <f t="shared" si="6"/>
        <v>78.799676599999998</v>
      </c>
      <c r="BA5" s="17">
        <f t="shared" si="7"/>
        <v>26.700432824795655</v>
      </c>
      <c r="BB5" s="4">
        <f t="shared" si="8"/>
        <v>0.33883937062751418</v>
      </c>
      <c r="BC5" s="3">
        <f t="shared" si="0"/>
        <v>108540.0911983424</v>
      </c>
      <c r="BD5" s="3">
        <f t="shared" si="1"/>
        <v>4</v>
      </c>
      <c r="BE5" s="3"/>
      <c r="BF5" s="3"/>
      <c r="BG5" s="7"/>
      <c r="BH5" s="7">
        <f t="shared" si="9"/>
        <v>2.1888799055555554</v>
      </c>
      <c r="BJ5" s="5" t="s">
        <v>100</v>
      </c>
      <c r="BK5" s="5" t="s">
        <v>100</v>
      </c>
      <c r="BL5" s="5" t="s">
        <v>100</v>
      </c>
      <c r="BP5">
        <v>0</v>
      </c>
      <c r="BR5">
        <f>531000/100000</f>
        <v>5.31</v>
      </c>
      <c r="BT5" s="5" t="s">
        <v>101</v>
      </c>
      <c r="BV5" t="s">
        <v>101</v>
      </c>
      <c r="BX5" s="5" t="s">
        <v>114</v>
      </c>
      <c r="BZ5" t="s">
        <v>101</v>
      </c>
    </row>
    <row r="6" spans="1:78" x14ac:dyDescent="0.35">
      <c r="A6" s="3" t="s">
        <v>37</v>
      </c>
      <c r="B6" s="3" t="s">
        <v>70</v>
      </c>
      <c r="C6" s="3" t="s">
        <v>92</v>
      </c>
      <c r="D6" s="2" t="s">
        <v>118</v>
      </c>
      <c r="E6" s="3" t="s">
        <v>95</v>
      </c>
      <c r="F6" s="5"/>
      <c r="G6" s="14">
        <v>56</v>
      </c>
      <c r="H6" s="17">
        <v>41.46</v>
      </c>
      <c r="I6" s="3">
        <v>-10.512857798969705</v>
      </c>
      <c r="J6" s="4">
        <f t="shared" si="2"/>
        <v>-0.25356627590375552</v>
      </c>
      <c r="K6" s="3">
        <v>110580.54850844618</v>
      </c>
      <c r="L6" s="17">
        <v>15.666666666666666</v>
      </c>
      <c r="M6" s="17"/>
      <c r="N6" s="6"/>
      <c r="O6" s="3"/>
      <c r="P6" s="7">
        <v>1.3417475728155339</v>
      </c>
      <c r="Q6" s="15"/>
      <c r="R6" s="7">
        <v>63</v>
      </c>
      <c r="S6" s="7">
        <v>63</v>
      </c>
      <c r="T6" s="3">
        <v>5.8298564211333144</v>
      </c>
      <c r="U6" s="4">
        <f t="shared" si="3"/>
        <v>9.2537403510052615E-2</v>
      </c>
      <c r="V6" s="3">
        <v>121638.60335929081</v>
      </c>
      <c r="W6" s="17">
        <v>15.666666666666666</v>
      </c>
      <c r="X6" s="17"/>
      <c r="Y6" s="17"/>
      <c r="Z6" s="3"/>
      <c r="AA6" s="7">
        <v>2.0388349514563107</v>
      </c>
      <c r="AC6" s="3">
        <v>57</v>
      </c>
      <c r="AD6" s="3">
        <v>57</v>
      </c>
      <c r="AE6" s="3">
        <v>-0.17014357886668563</v>
      </c>
      <c r="AF6" s="4">
        <v>-2.98497506783659E-3</v>
      </c>
      <c r="AG6" s="3">
        <v>121638.60335929081</v>
      </c>
      <c r="AH6" s="17">
        <v>15.666666666666666</v>
      </c>
      <c r="AI6" s="17"/>
      <c r="AJ6" s="17"/>
      <c r="AK6" s="3"/>
      <c r="AL6" s="7">
        <v>1.8446601941747571</v>
      </c>
      <c r="AN6" s="17">
        <v>46</v>
      </c>
      <c r="AO6" s="17">
        <v>46</v>
      </c>
      <c r="AP6" s="17">
        <v>-11.170143578866686</v>
      </c>
      <c r="AQ6" s="4">
        <v>-0.2428292082362323</v>
      </c>
      <c r="AR6" s="3">
        <v>121638.60335929081</v>
      </c>
      <c r="AS6" s="17">
        <f t="shared" si="4"/>
        <v>15.666666666666666</v>
      </c>
      <c r="AT6" s="17"/>
      <c r="AU6" s="17"/>
      <c r="AV6" s="3"/>
      <c r="AW6" s="7">
        <v>1.4886731391585759</v>
      </c>
      <c r="AY6" s="17">
        <f t="shared" si="5"/>
        <v>222</v>
      </c>
      <c r="AZ6" s="17">
        <f t="shared" si="6"/>
        <v>207.46</v>
      </c>
      <c r="BA6" s="17">
        <f t="shared" si="7"/>
        <v>-16.023288535569762</v>
      </c>
      <c r="BB6" s="4">
        <f t="shared" si="8"/>
        <v>-7.7235556423261159E-2</v>
      </c>
      <c r="BC6" s="3">
        <f t="shared" si="0"/>
        <v>118874.08964657965</v>
      </c>
      <c r="BD6" s="3">
        <f t="shared" si="1"/>
        <v>15.666666666666666</v>
      </c>
      <c r="BE6" s="3"/>
      <c r="BF6" s="3"/>
      <c r="BG6" s="7"/>
      <c r="BH6" s="7">
        <f t="shared" si="9"/>
        <v>1.6784789644012943</v>
      </c>
      <c r="BJ6" s="5" t="s">
        <v>100</v>
      </c>
      <c r="BK6" s="5" t="s">
        <v>100</v>
      </c>
      <c r="BL6" s="5" t="s">
        <v>100</v>
      </c>
      <c r="BN6" s="21">
        <f>5066901/100000</f>
        <v>50.66901</v>
      </c>
      <c r="BP6">
        <f>2650000/100000</f>
        <v>26.5</v>
      </c>
      <c r="BR6">
        <f>690300/100000</f>
        <v>6.9029999999999996</v>
      </c>
      <c r="BT6" s="5" t="s">
        <v>101</v>
      </c>
      <c r="BV6" t="s">
        <v>101</v>
      </c>
      <c r="BX6" s="5" t="s">
        <v>106</v>
      </c>
      <c r="BZ6" t="s">
        <v>101</v>
      </c>
    </row>
    <row r="7" spans="1:78" x14ac:dyDescent="0.35">
      <c r="A7" s="3" t="s">
        <v>38</v>
      </c>
      <c r="B7" s="3" t="s">
        <v>83</v>
      </c>
      <c r="C7" s="3" t="s">
        <v>87</v>
      </c>
      <c r="D7" s="2" t="s">
        <v>118</v>
      </c>
      <c r="E7" s="3" t="s">
        <v>71</v>
      </c>
      <c r="F7" s="5"/>
      <c r="G7" s="14">
        <v>28.499999999999996</v>
      </c>
      <c r="H7" s="17">
        <v>19.118500000000001</v>
      </c>
      <c r="I7" s="3">
        <v>0.88244783034543062</v>
      </c>
      <c r="J7" s="4">
        <f t="shared" si="2"/>
        <v>4.6156750286132836E-2</v>
      </c>
      <c r="K7" s="3">
        <v>101311.4009425254</v>
      </c>
      <c r="L7" s="17">
        <v>6</v>
      </c>
      <c r="M7" s="17"/>
      <c r="N7" s="6"/>
      <c r="O7" s="3"/>
      <c r="P7" s="7">
        <v>1.2745666666666666</v>
      </c>
      <c r="Q7" s="15"/>
      <c r="R7" s="7">
        <v>27.4</v>
      </c>
      <c r="S7" s="7">
        <v>27.4</v>
      </c>
      <c r="T7" s="3">
        <v>7.340342613379967</v>
      </c>
      <c r="U7" s="4">
        <f t="shared" si="3"/>
        <v>0.26789571581678712</v>
      </c>
      <c r="V7" s="3">
        <v>111442.54103677796</v>
      </c>
      <c r="W7" s="17">
        <v>6</v>
      </c>
      <c r="X7" s="17"/>
      <c r="Y7" s="17"/>
      <c r="Z7" s="3"/>
      <c r="AA7" s="7">
        <v>1.8266666666666667</v>
      </c>
      <c r="AC7" s="3">
        <v>31.5</v>
      </c>
      <c r="AD7" s="3">
        <v>31.5</v>
      </c>
      <c r="AE7" s="3">
        <v>11.440342613379968</v>
      </c>
      <c r="AF7" s="4">
        <v>0.36318547978984028</v>
      </c>
      <c r="AG7" s="3">
        <v>111442.54103677796</v>
      </c>
      <c r="AH7" s="17">
        <v>6</v>
      </c>
      <c r="AI7" s="17"/>
      <c r="AJ7" s="17"/>
      <c r="AK7" s="3"/>
      <c r="AL7" s="7">
        <v>2.1</v>
      </c>
      <c r="AN7" s="17">
        <v>35.700000000000003</v>
      </c>
      <c r="AO7" s="17">
        <v>35.700000000000003</v>
      </c>
      <c r="AP7" s="17">
        <v>15.640342613379971</v>
      </c>
      <c r="AQ7" s="4">
        <v>0.43810483510868264</v>
      </c>
      <c r="AR7" s="3">
        <v>111442.54103677796</v>
      </c>
      <c r="AS7" s="17">
        <f t="shared" si="4"/>
        <v>6</v>
      </c>
      <c r="AT7" s="17"/>
      <c r="AU7" s="17"/>
      <c r="AV7" s="3"/>
      <c r="AW7" s="7">
        <v>2.3800000000000003</v>
      </c>
      <c r="AY7" s="17">
        <f t="shared" si="5"/>
        <v>123.1</v>
      </c>
      <c r="AZ7" s="17">
        <f t="shared" si="6"/>
        <v>113.71849999999999</v>
      </c>
      <c r="BA7" s="17">
        <f t="shared" si="7"/>
        <v>35.303475670485341</v>
      </c>
      <c r="BB7" s="4">
        <f t="shared" si="8"/>
        <v>0.31044619539024293</v>
      </c>
      <c r="BC7" s="3">
        <f t="shared" si="0"/>
        <v>108909.75601321482</v>
      </c>
      <c r="BD7" s="3">
        <f t="shared" si="1"/>
        <v>6</v>
      </c>
      <c r="BE7" s="3"/>
      <c r="BF7" s="3"/>
      <c r="BG7" s="7"/>
      <c r="BH7" s="7">
        <f t="shared" si="9"/>
        <v>1.8953083333333334</v>
      </c>
      <c r="BJ7" s="5" t="s">
        <v>100</v>
      </c>
      <c r="BK7" s="5" t="s">
        <v>100</v>
      </c>
      <c r="BL7" s="5" t="s">
        <v>100</v>
      </c>
      <c r="BN7" s="21">
        <f>5310000/100000</f>
        <v>53.1</v>
      </c>
      <c r="BP7">
        <f>611850/100000</f>
        <v>6.1185</v>
      </c>
      <c r="BT7" s="5" t="s">
        <v>101</v>
      </c>
      <c r="BV7" t="s">
        <v>101</v>
      </c>
      <c r="BX7" s="5" t="s">
        <v>106</v>
      </c>
      <c r="BZ7" t="s">
        <v>101</v>
      </c>
    </row>
    <row r="8" spans="1:78" x14ac:dyDescent="0.35">
      <c r="A8" s="3" t="s">
        <v>39</v>
      </c>
      <c r="B8" s="3" t="s">
        <v>70</v>
      </c>
      <c r="C8" s="3" t="s">
        <v>92</v>
      </c>
      <c r="D8" s="2" t="s">
        <v>118</v>
      </c>
      <c r="E8" s="3" t="s">
        <v>95</v>
      </c>
      <c r="F8" s="5"/>
      <c r="G8" s="14">
        <v>33</v>
      </c>
      <c r="H8" s="17">
        <v>29.1525</v>
      </c>
      <c r="I8" s="3">
        <v>4.4074999999999989</v>
      </c>
      <c r="J8" s="4">
        <f t="shared" si="2"/>
        <v>0.15118771974959261</v>
      </c>
      <c r="K8" s="3">
        <v>101000</v>
      </c>
      <c r="L8" s="17">
        <v>8.1666666666666661</v>
      </c>
      <c r="M8" s="17"/>
      <c r="N8" s="6"/>
      <c r="O8" s="3"/>
      <c r="P8" s="7">
        <v>1.2146874999999999</v>
      </c>
      <c r="Q8" s="15"/>
      <c r="R8" s="7">
        <v>34.5</v>
      </c>
      <c r="S8" s="7">
        <v>34.5</v>
      </c>
      <c r="T8" s="3">
        <v>7.2804999999999964</v>
      </c>
      <c r="U8" s="4">
        <f t="shared" si="3"/>
        <v>0.21102898550724628</v>
      </c>
      <c r="V8" s="3">
        <v>111100.00000000001</v>
      </c>
      <c r="W8" s="17">
        <v>8.1666666666666661</v>
      </c>
      <c r="X8" s="17"/>
      <c r="Y8" s="17"/>
      <c r="Z8" s="3"/>
      <c r="AA8" s="7">
        <v>1.4375</v>
      </c>
      <c r="AC8" s="3">
        <v>30.6</v>
      </c>
      <c r="AD8" s="3">
        <v>30.6</v>
      </c>
      <c r="AE8" s="3">
        <v>3.3804999999999978</v>
      </c>
      <c r="AF8" s="4">
        <v>0.11047385620915025</v>
      </c>
      <c r="AG8" s="3">
        <v>111100.00000000001</v>
      </c>
      <c r="AH8" s="17">
        <v>8.1666666666666661</v>
      </c>
      <c r="AI8" s="17"/>
      <c r="AJ8" s="17"/>
      <c r="AK8" s="3"/>
      <c r="AL8" s="7">
        <v>1.2750000000000001</v>
      </c>
      <c r="AN8" s="17">
        <v>36.6</v>
      </c>
      <c r="AO8" s="17">
        <v>36.6</v>
      </c>
      <c r="AP8" s="17">
        <v>9.3804999999999978</v>
      </c>
      <c r="AQ8" s="4">
        <v>0.25629781420765019</v>
      </c>
      <c r="AR8" s="3">
        <v>111100.00000000001</v>
      </c>
      <c r="AS8" s="17">
        <f t="shared" si="4"/>
        <v>8.1666666666666661</v>
      </c>
      <c r="AT8" s="17"/>
      <c r="AU8" s="17"/>
      <c r="AV8" s="3"/>
      <c r="AW8" s="7">
        <v>1.5250000000000001</v>
      </c>
      <c r="AY8" s="17">
        <f t="shared" si="5"/>
        <v>134.69999999999999</v>
      </c>
      <c r="AZ8" s="17">
        <f t="shared" si="6"/>
        <v>130.85249999999999</v>
      </c>
      <c r="BA8" s="17">
        <f t="shared" si="7"/>
        <v>24.448999999999991</v>
      </c>
      <c r="BB8" s="4">
        <f t="shared" si="8"/>
        <v>0.18684396553371158</v>
      </c>
      <c r="BC8" s="3">
        <f t="shared" si="0"/>
        <v>108575</v>
      </c>
      <c r="BD8" s="3">
        <f t="shared" si="1"/>
        <v>8.1666666666666661</v>
      </c>
      <c r="BE8" s="3"/>
      <c r="BF8" s="3"/>
      <c r="BG8" s="7"/>
      <c r="BH8" s="7">
        <f t="shared" si="9"/>
        <v>1.3630468750000002</v>
      </c>
      <c r="BJ8" s="5" t="s">
        <v>100</v>
      </c>
      <c r="BK8" s="5" t="s">
        <v>100</v>
      </c>
      <c r="BL8" s="5" t="s">
        <v>100</v>
      </c>
      <c r="BN8" s="21"/>
      <c r="BP8">
        <f>1305250/100000</f>
        <v>13.0525</v>
      </c>
      <c r="BT8" s="5" t="s">
        <v>101</v>
      </c>
      <c r="BV8" t="s">
        <v>101</v>
      </c>
      <c r="BX8" s="5" t="s">
        <v>114</v>
      </c>
      <c r="BZ8" t="s">
        <v>101</v>
      </c>
    </row>
    <row r="9" spans="1:78" x14ac:dyDescent="0.35">
      <c r="A9" s="3" t="s">
        <v>8</v>
      </c>
      <c r="B9" s="3" t="s">
        <v>70</v>
      </c>
      <c r="C9" s="3" t="s">
        <v>86</v>
      </c>
      <c r="D9" s="2" t="s">
        <v>118</v>
      </c>
      <c r="E9" s="3" t="s">
        <v>2</v>
      </c>
      <c r="F9" s="5"/>
      <c r="G9" s="14">
        <v>51.75</v>
      </c>
      <c r="H9" s="17">
        <v>25.08</v>
      </c>
      <c r="I9" s="3">
        <v>-0.5778053411884656</v>
      </c>
      <c r="J9" s="4">
        <f t="shared" si="2"/>
        <v>-2.3038490478008995E-2</v>
      </c>
      <c r="K9" s="3">
        <v>80180.641691213954</v>
      </c>
      <c r="L9" s="17">
        <v>10.666666666666666</v>
      </c>
      <c r="M9" s="17"/>
      <c r="N9" s="6"/>
      <c r="O9" s="3"/>
      <c r="P9" s="7">
        <v>0.83599999999999997</v>
      </c>
      <c r="Q9" s="15"/>
      <c r="R9" s="7">
        <v>45.5</v>
      </c>
      <c r="S9" s="7">
        <v>45.5</v>
      </c>
      <c r="T9" s="3">
        <v>17.276414124692689</v>
      </c>
      <c r="U9" s="4">
        <f t="shared" si="3"/>
        <v>0.37970140933390523</v>
      </c>
      <c r="V9" s="3">
        <v>88198.705860335351</v>
      </c>
      <c r="W9" s="17">
        <v>10.666666666666666</v>
      </c>
      <c r="X9" s="17"/>
      <c r="Y9" s="17"/>
      <c r="Z9" s="3"/>
      <c r="AA9" s="7">
        <v>1.5166666666666666</v>
      </c>
      <c r="AC9" s="3">
        <v>48</v>
      </c>
      <c r="AD9" s="3">
        <v>48</v>
      </c>
      <c r="AE9" s="3">
        <v>19.776414124692689</v>
      </c>
      <c r="AF9" s="4">
        <v>0.41200862759776435</v>
      </c>
      <c r="AG9" s="3">
        <v>88198.705860335351</v>
      </c>
      <c r="AH9" s="17">
        <v>10.666666666666666</v>
      </c>
      <c r="AI9" s="17"/>
      <c r="AJ9" s="17"/>
      <c r="AK9" s="3"/>
      <c r="AL9" s="7">
        <v>1.6</v>
      </c>
      <c r="AN9" s="17">
        <v>50.5</v>
      </c>
      <c r="AO9" s="17">
        <v>50.5</v>
      </c>
      <c r="AP9" s="17">
        <v>22.276414124692689</v>
      </c>
      <c r="AQ9" s="4">
        <v>0.44111711138005327</v>
      </c>
      <c r="AR9" s="3">
        <v>88198.705860335351</v>
      </c>
      <c r="AS9" s="17">
        <f t="shared" si="4"/>
        <v>10.666666666666666</v>
      </c>
      <c r="AT9" s="17"/>
      <c r="AU9" s="17"/>
      <c r="AV9" s="3"/>
      <c r="AW9" s="7">
        <v>1.6833333333333333</v>
      </c>
      <c r="AY9" s="17">
        <f t="shared" si="5"/>
        <v>195.75</v>
      </c>
      <c r="AZ9" s="17">
        <f t="shared" si="6"/>
        <v>169.07999999999998</v>
      </c>
      <c r="BA9" s="17">
        <f t="shared" si="7"/>
        <v>58.751437032889598</v>
      </c>
      <c r="BB9" s="4">
        <f t="shared" si="8"/>
        <v>0.34747715302158505</v>
      </c>
      <c r="BC9" s="3">
        <f t="shared" si="0"/>
        <v>86194.189818055005</v>
      </c>
      <c r="BD9" s="3">
        <f t="shared" si="1"/>
        <v>10.666666666666666</v>
      </c>
      <c r="BE9" s="3"/>
      <c r="BF9" s="3"/>
      <c r="BG9" s="7"/>
      <c r="BH9" s="7">
        <f t="shared" si="9"/>
        <v>1.409</v>
      </c>
      <c r="BJ9" s="5" t="s">
        <v>100</v>
      </c>
      <c r="BK9" s="5" t="s">
        <v>100</v>
      </c>
      <c r="BL9" s="5" t="s">
        <v>100</v>
      </c>
      <c r="BN9" s="21"/>
      <c r="BP9">
        <f>458000/100000</f>
        <v>4.58</v>
      </c>
      <c r="BR9">
        <f>2553800/100000</f>
        <v>25.538</v>
      </c>
      <c r="BT9" s="5" t="s">
        <v>101</v>
      </c>
      <c r="BV9" t="s">
        <v>101</v>
      </c>
      <c r="BX9" s="5" t="s">
        <v>115</v>
      </c>
      <c r="BZ9" t="s">
        <v>101</v>
      </c>
    </row>
    <row r="10" spans="1:78" x14ac:dyDescent="0.35">
      <c r="A10" s="3" t="s">
        <v>4</v>
      </c>
      <c r="B10" s="3" t="s">
        <v>70</v>
      </c>
      <c r="C10" s="3" t="s">
        <v>86</v>
      </c>
      <c r="D10" s="2" t="s">
        <v>118</v>
      </c>
      <c r="E10" s="3" t="s">
        <v>2</v>
      </c>
      <c r="F10" s="5"/>
      <c r="G10" s="14">
        <v>10</v>
      </c>
      <c r="H10" s="17">
        <v>9.7707377999999991</v>
      </c>
      <c r="I10" s="3">
        <v>3.446138567772473</v>
      </c>
      <c r="J10" s="4">
        <f t="shared" si="2"/>
        <v>0.35269993303601632</v>
      </c>
      <c r="K10" s="3">
        <v>105409.9872037921</v>
      </c>
      <c r="L10" s="17">
        <v>2</v>
      </c>
      <c r="M10" s="17"/>
      <c r="N10" s="6"/>
      <c r="O10" s="3"/>
      <c r="P10" s="7">
        <v>1.6284562999999999</v>
      </c>
      <c r="Q10" s="15"/>
      <c r="R10" s="7">
        <v>12</v>
      </c>
      <c r="S10" s="7">
        <v>12</v>
      </c>
      <c r="T10" s="3">
        <v>5.0429408445497206</v>
      </c>
      <c r="U10" s="4">
        <f t="shared" si="3"/>
        <v>0.42024507037914338</v>
      </c>
      <c r="V10" s="3">
        <v>115950.98592417133</v>
      </c>
      <c r="W10" s="17">
        <v>2</v>
      </c>
      <c r="X10" s="17"/>
      <c r="Y10" s="17"/>
      <c r="Z10" s="3"/>
      <c r="AA10" s="7">
        <v>2</v>
      </c>
      <c r="AC10" s="3">
        <v>13</v>
      </c>
      <c r="AD10" s="3">
        <v>13</v>
      </c>
      <c r="AE10" s="3">
        <v>6.0429408445497206</v>
      </c>
      <c r="AF10" s="4">
        <v>0.46484160342690156</v>
      </c>
      <c r="AG10" s="3">
        <v>115950.98592417133</v>
      </c>
      <c r="AH10" s="17">
        <v>2</v>
      </c>
      <c r="AI10" s="17"/>
      <c r="AJ10" s="17"/>
      <c r="AK10" s="3"/>
      <c r="AL10" s="7">
        <v>2.1666666666666665</v>
      </c>
      <c r="AN10" s="17">
        <v>13</v>
      </c>
      <c r="AO10" s="17">
        <v>13</v>
      </c>
      <c r="AP10" s="17">
        <v>6.0429408445497206</v>
      </c>
      <c r="AQ10" s="4">
        <v>0.46484160342690156</v>
      </c>
      <c r="AR10" s="3">
        <v>115950.98592417133</v>
      </c>
      <c r="AS10" s="17">
        <f t="shared" si="4"/>
        <v>2</v>
      </c>
      <c r="AT10" s="17"/>
      <c r="AU10" s="17"/>
      <c r="AV10" s="3"/>
      <c r="AW10" s="7">
        <v>2.1666666666666665</v>
      </c>
      <c r="AY10" s="17">
        <f t="shared" si="5"/>
        <v>48</v>
      </c>
      <c r="AZ10" s="17">
        <f t="shared" si="6"/>
        <v>47.770737799999999</v>
      </c>
      <c r="BA10" s="17">
        <f t="shared" si="7"/>
        <v>20.574961101421636</v>
      </c>
      <c r="BB10" s="4">
        <f t="shared" si="8"/>
        <v>0.4307021839930979</v>
      </c>
      <c r="BC10" s="3">
        <f t="shared" si="0"/>
        <v>113315.73624407653</v>
      </c>
      <c r="BD10" s="3">
        <f t="shared" si="1"/>
        <v>2</v>
      </c>
      <c r="BE10" s="3"/>
      <c r="BF10" s="3"/>
      <c r="BG10" s="7"/>
      <c r="BH10" s="7">
        <f t="shared" si="9"/>
        <v>1.990447408333333</v>
      </c>
      <c r="BJ10" s="5" t="s">
        <v>100</v>
      </c>
      <c r="BK10" s="5" t="s">
        <v>100</v>
      </c>
      <c r="BL10" s="5" t="s">
        <v>100</v>
      </c>
      <c r="BN10" s="21"/>
      <c r="BP10">
        <v>0</v>
      </c>
      <c r="BR10">
        <f>31266/100000</f>
        <v>0.31265999999999999</v>
      </c>
      <c r="BT10" s="5" t="s">
        <v>101</v>
      </c>
      <c r="BV10" t="s">
        <v>101</v>
      </c>
      <c r="BX10" s="5" t="s">
        <v>115</v>
      </c>
      <c r="BZ10" t="s">
        <v>101</v>
      </c>
    </row>
    <row r="11" spans="1:78" x14ac:dyDescent="0.35">
      <c r="A11" s="3" t="s">
        <v>9</v>
      </c>
      <c r="B11" s="3" t="s">
        <v>70</v>
      </c>
      <c r="C11" s="3" t="s">
        <v>86</v>
      </c>
      <c r="D11" s="2" t="s">
        <v>118</v>
      </c>
      <c r="E11" s="3" t="s">
        <v>2</v>
      </c>
      <c r="F11" s="5"/>
      <c r="G11" s="14">
        <v>51.5</v>
      </c>
      <c r="H11" s="17">
        <v>40.739999999999995</v>
      </c>
      <c r="I11" s="3">
        <v>16.682275115075424</v>
      </c>
      <c r="J11" s="4">
        <f t="shared" si="2"/>
        <v>0.40948147066949991</v>
      </c>
      <c r="K11" s="3">
        <v>92529.711095863735</v>
      </c>
      <c r="L11" s="17">
        <v>8.6666666666666661</v>
      </c>
      <c r="M11" s="17"/>
      <c r="N11" s="6"/>
      <c r="O11" s="3"/>
      <c r="P11" s="7">
        <v>1.8106666666666664</v>
      </c>
      <c r="Q11" s="15"/>
      <c r="R11" s="7">
        <v>47.199999999999996</v>
      </c>
      <c r="S11" s="7">
        <v>47.199999999999996</v>
      </c>
      <c r="T11" s="3">
        <v>20.736502626582965</v>
      </c>
      <c r="U11" s="4">
        <f t="shared" si="3"/>
        <v>0.43933268276658827</v>
      </c>
      <c r="V11" s="3">
        <v>101782.68220545011</v>
      </c>
      <c r="W11" s="17">
        <v>8.6666666666666661</v>
      </c>
      <c r="X11" s="17"/>
      <c r="Y11" s="17"/>
      <c r="Z11" s="3"/>
      <c r="AA11" s="7">
        <v>2.0977777777777775</v>
      </c>
      <c r="AC11" s="3">
        <v>49.800000000000004</v>
      </c>
      <c r="AD11" s="3">
        <v>49.800000000000004</v>
      </c>
      <c r="AE11" s="3">
        <v>23.336502626582973</v>
      </c>
      <c r="AF11" s="4">
        <v>0.46860447041331266</v>
      </c>
      <c r="AG11" s="3">
        <v>101782.68220545011</v>
      </c>
      <c r="AH11" s="17">
        <v>8.6666666666666661</v>
      </c>
      <c r="AI11" s="17"/>
      <c r="AJ11" s="17"/>
      <c r="AK11" s="3"/>
      <c r="AL11" s="7">
        <v>2.2133333333333334</v>
      </c>
      <c r="AN11" s="17">
        <v>46.6</v>
      </c>
      <c r="AO11" s="17">
        <v>46.6</v>
      </c>
      <c r="AP11" s="17">
        <v>20.136502626582971</v>
      </c>
      <c r="AQ11" s="4">
        <v>0.43211379027002084</v>
      </c>
      <c r="AR11" s="3">
        <v>101782.68220545011</v>
      </c>
      <c r="AS11" s="17">
        <f t="shared" si="4"/>
        <v>8.6666666666666661</v>
      </c>
      <c r="AT11" s="17"/>
      <c r="AU11" s="17"/>
      <c r="AV11" s="3"/>
      <c r="AW11" s="7">
        <v>2.0711111111111111</v>
      </c>
      <c r="AY11" s="17">
        <f t="shared" si="5"/>
        <v>195.1</v>
      </c>
      <c r="AZ11" s="17">
        <f t="shared" si="6"/>
        <v>184.33999999999997</v>
      </c>
      <c r="BA11" s="17">
        <f t="shared" si="7"/>
        <v>80.891782994824339</v>
      </c>
      <c r="BB11" s="4">
        <f t="shared" si="8"/>
        <v>0.43881839532833</v>
      </c>
      <c r="BC11" s="3">
        <f t="shared" si="0"/>
        <v>99469.439428053534</v>
      </c>
      <c r="BD11" s="3">
        <f t="shared" si="1"/>
        <v>8.6666666666666661</v>
      </c>
      <c r="BE11" s="3"/>
      <c r="BF11" s="3"/>
      <c r="BG11" s="7"/>
      <c r="BH11" s="7">
        <f t="shared" si="9"/>
        <v>2.0482222222222224</v>
      </c>
      <c r="BJ11" s="5" t="s">
        <v>100</v>
      </c>
      <c r="BK11" s="5" t="s">
        <v>100</v>
      </c>
      <c r="BL11" s="5" t="s">
        <v>100</v>
      </c>
      <c r="BN11" s="21">
        <f>1371147/100000</f>
        <v>13.71147</v>
      </c>
      <c r="BP11">
        <f>1279000/100000</f>
        <v>12.79</v>
      </c>
      <c r="BT11" s="5" t="s">
        <v>101</v>
      </c>
      <c r="BV11" t="s">
        <v>100</v>
      </c>
      <c r="BX11" s="5" t="s">
        <v>114</v>
      </c>
      <c r="BZ11" t="s">
        <v>101</v>
      </c>
    </row>
    <row r="12" spans="1:78" x14ac:dyDescent="0.35">
      <c r="A12" s="3" t="s">
        <v>40</v>
      </c>
      <c r="B12" s="3" t="s">
        <v>72</v>
      </c>
      <c r="C12" s="3" t="s">
        <v>72</v>
      </c>
      <c r="D12" s="2" t="s">
        <v>118</v>
      </c>
      <c r="E12" s="3" t="s">
        <v>72</v>
      </c>
      <c r="F12" s="5"/>
      <c r="G12" s="14">
        <v>329.30417599999998</v>
      </c>
      <c r="H12" s="17">
        <v>417</v>
      </c>
      <c r="I12" s="3">
        <v>181.45506157435264</v>
      </c>
      <c r="J12" s="4">
        <f t="shared" si="2"/>
        <v>0.43514403255240441</v>
      </c>
      <c r="K12" s="3">
        <v>139210.95651634005</v>
      </c>
      <c r="L12" s="17">
        <v>56.4</v>
      </c>
      <c r="M12" s="17"/>
      <c r="N12" s="6"/>
      <c r="O12" s="3"/>
      <c r="P12" s="7">
        <v>3.8186813186813189</v>
      </c>
      <c r="Q12" s="15"/>
      <c r="R12" s="7">
        <v>392.27188129999996</v>
      </c>
      <c r="S12" s="7">
        <v>392.27188129999996</v>
      </c>
      <c r="T12" s="3">
        <v>133.17244903178783</v>
      </c>
      <c r="U12" s="4">
        <f t="shared" si="3"/>
        <v>0.33949017347471</v>
      </c>
      <c r="V12" s="3">
        <v>153132.05216797406</v>
      </c>
      <c r="W12" s="17">
        <v>56.4</v>
      </c>
      <c r="X12" s="17"/>
      <c r="Y12" s="17"/>
      <c r="Z12" s="3"/>
      <c r="AA12" s="7">
        <v>3.5922333452380952</v>
      </c>
      <c r="AC12" s="3">
        <v>329.57126269999998</v>
      </c>
      <c r="AD12" s="3">
        <v>329.57126269999998</v>
      </c>
      <c r="AE12" s="3">
        <v>70.471830431787851</v>
      </c>
      <c r="AF12" s="4">
        <v>0.21382880853885763</v>
      </c>
      <c r="AG12" s="3">
        <v>153132.05216797406</v>
      </c>
      <c r="AH12" s="17">
        <v>56.4</v>
      </c>
      <c r="AI12" s="17"/>
      <c r="AJ12" s="17"/>
      <c r="AK12" s="3"/>
      <c r="AL12" s="7">
        <v>3.0180518562271064</v>
      </c>
      <c r="AN12" s="17">
        <v>392.0047667</v>
      </c>
      <c r="AO12" s="17">
        <v>392.0047667</v>
      </c>
      <c r="AP12" s="17">
        <v>132.90533443178788</v>
      </c>
      <c r="AQ12" s="4">
        <v>0.33904009777896377</v>
      </c>
      <c r="AR12" s="3">
        <v>153132.05216797406</v>
      </c>
      <c r="AS12" s="17">
        <f t="shared" si="4"/>
        <v>56.4</v>
      </c>
      <c r="AT12" s="17"/>
      <c r="AU12" s="17"/>
      <c r="AV12" s="3"/>
      <c r="AW12" s="7">
        <v>3.5897872408424911</v>
      </c>
      <c r="AY12" s="17">
        <f t="shared" si="5"/>
        <v>1443.1520866999999</v>
      </c>
      <c r="AZ12" s="17">
        <f t="shared" si="6"/>
        <v>1530.8479106999998</v>
      </c>
      <c r="BA12" s="17">
        <f t="shared" si="7"/>
        <v>518.00467546971618</v>
      </c>
      <c r="BB12" s="4">
        <f t="shared" si="8"/>
        <v>0.33837762187156262</v>
      </c>
      <c r="BC12" s="3">
        <f t="shared" si="0"/>
        <v>149651.77825506555</v>
      </c>
      <c r="BD12" s="3">
        <f t="shared" si="1"/>
        <v>56.4</v>
      </c>
      <c r="BE12" s="3"/>
      <c r="BF12" s="3"/>
      <c r="BG12" s="7"/>
      <c r="BH12" s="7">
        <f t="shared" si="9"/>
        <v>3.5046884402472527</v>
      </c>
      <c r="BJ12" s="5" t="s">
        <v>100</v>
      </c>
      <c r="BK12" s="5" t="s">
        <v>100</v>
      </c>
      <c r="BL12" s="5" t="s">
        <v>100</v>
      </c>
      <c r="BN12" s="21"/>
      <c r="BP12">
        <v>0</v>
      </c>
      <c r="BT12" s="5" t="s">
        <v>101</v>
      </c>
      <c r="BV12" t="s">
        <v>101</v>
      </c>
      <c r="BX12" s="5" t="s">
        <v>114</v>
      </c>
      <c r="BZ12" t="s">
        <v>100</v>
      </c>
    </row>
    <row r="13" spans="1:78" x14ac:dyDescent="0.35">
      <c r="A13" s="3" t="s">
        <v>41</v>
      </c>
      <c r="B13" s="3" t="s">
        <v>83</v>
      </c>
      <c r="C13" s="3" t="s">
        <v>88</v>
      </c>
      <c r="D13" s="2" t="s">
        <v>118</v>
      </c>
      <c r="E13" s="3" t="s">
        <v>71</v>
      </c>
      <c r="F13" s="5"/>
      <c r="G13" s="14">
        <v>27</v>
      </c>
      <c r="H13" s="17">
        <v>14.785</v>
      </c>
      <c r="I13" s="3">
        <v>5.5780109760832666</v>
      </c>
      <c r="J13" s="4">
        <f t="shared" si="2"/>
        <v>0.3772750068368797</v>
      </c>
      <c r="K13" s="3">
        <v>127874.84755439906</v>
      </c>
      <c r="L13" s="17">
        <v>2.4</v>
      </c>
      <c r="M13" s="17"/>
      <c r="N13" s="6"/>
      <c r="O13" s="3"/>
      <c r="P13" s="7">
        <v>4.9283333333333337</v>
      </c>
      <c r="Q13" s="15"/>
      <c r="R13" s="7">
        <v>27</v>
      </c>
      <c r="S13" s="7">
        <v>27</v>
      </c>
      <c r="T13" s="3">
        <v>16.872312073691592</v>
      </c>
      <c r="U13" s="4">
        <f t="shared" si="3"/>
        <v>0.6249004471737627</v>
      </c>
      <c r="V13" s="3">
        <v>140662.332309839</v>
      </c>
      <c r="W13" s="17">
        <v>2.4</v>
      </c>
      <c r="X13" s="17"/>
      <c r="Y13" s="17"/>
      <c r="Z13" s="3"/>
      <c r="AA13" s="7">
        <v>9</v>
      </c>
      <c r="AC13" s="3">
        <v>20</v>
      </c>
      <c r="AD13" s="3">
        <v>20</v>
      </c>
      <c r="AE13" s="3">
        <v>9.8723120736915924</v>
      </c>
      <c r="AF13" s="4">
        <v>0.49361560368457963</v>
      </c>
      <c r="AG13" s="3">
        <v>140662.332309839</v>
      </c>
      <c r="AH13" s="17">
        <v>2.4</v>
      </c>
      <c r="AI13" s="17"/>
      <c r="AJ13" s="17"/>
      <c r="AK13" s="3"/>
      <c r="AL13" s="7">
        <v>6.666666666666667</v>
      </c>
      <c r="AN13" s="17">
        <v>23</v>
      </c>
      <c r="AO13" s="17">
        <v>23</v>
      </c>
      <c r="AP13" s="17">
        <v>12.872312073691592</v>
      </c>
      <c r="AQ13" s="4">
        <v>0.55966574233441702</v>
      </c>
      <c r="AR13" s="3">
        <v>140662.332309839</v>
      </c>
      <c r="AS13" s="17">
        <f t="shared" si="4"/>
        <v>2.4</v>
      </c>
      <c r="AT13" s="17"/>
      <c r="AU13" s="17"/>
      <c r="AV13" s="3"/>
      <c r="AW13" s="7">
        <v>7.666666666666667</v>
      </c>
      <c r="AY13" s="17">
        <f t="shared" si="5"/>
        <v>97</v>
      </c>
      <c r="AZ13" s="17">
        <f t="shared" si="6"/>
        <v>84.784999999999997</v>
      </c>
      <c r="BA13" s="17">
        <f t="shared" si="7"/>
        <v>45.194947197158044</v>
      </c>
      <c r="BB13" s="4">
        <f t="shared" si="8"/>
        <v>0.53305357312210944</v>
      </c>
      <c r="BC13" s="3">
        <f t="shared" si="0"/>
        <v>137465.46112097902</v>
      </c>
      <c r="BD13" s="3">
        <f t="shared" si="1"/>
        <v>2.4</v>
      </c>
      <c r="BE13" s="3"/>
      <c r="BF13" s="3"/>
      <c r="BG13" s="7"/>
      <c r="BH13" s="7">
        <f t="shared" si="9"/>
        <v>7.0654166666666676</v>
      </c>
      <c r="BJ13" s="5" t="s">
        <v>100</v>
      </c>
      <c r="BK13" s="5" t="s">
        <v>100</v>
      </c>
      <c r="BL13" s="5" t="s">
        <v>100</v>
      </c>
      <c r="BN13" s="21"/>
      <c r="BP13">
        <f>378500/100000</f>
        <v>3.7850000000000001</v>
      </c>
      <c r="BT13" s="5" t="s">
        <v>101</v>
      </c>
      <c r="BV13" t="s">
        <v>101</v>
      </c>
      <c r="BX13" s="5" t="s">
        <v>114</v>
      </c>
      <c r="BZ13" t="s">
        <v>101</v>
      </c>
    </row>
    <row r="14" spans="1:78" x14ac:dyDescent="0.35">
      <c r="A14" s="3" t="s">
        <v>13</v>
      </c>
      <c r="B14" s="3" t="s">
        <v>70</v>
      </c>
      <c r="C14" s="3" t="s">
        <v>86</v>
      </c>
      <c r="D14" s="2" t="s">
        <v>118</v>
      </c>
      <c r="E14" s="3" t="s">
        <v>2</v>
      </c>
      <c r="F14" s="5"/>
      <c r="G14" s="14">
        <v>0</v>
      </c>
      <c r="H14" s="17">
        <v>0.9</v>
      </c>
      <c r="I14" s="3">
        <v>-2.7450000000000001</v>
      </c>
      <c r="J14" s="4">
        <f t="shared" si="2"/>
        <v>-3.05</v>
      </c>
      <c r="K14" s="3">
        <v>90000</v>
      </c>
      <c r="L14" s="17">
        <v>1.3499999999999999</v>
      </c>
      <c r="M14" s="17"/>
      <c r="N14" s="6"/>
      <c r="O14" s="3"/>
      <c r="P14" s="7">
        <v>0.1</v>
      </c>
      <c r="Q14" s="15"/>
      <c r="R14" s="7">
        <v>0</v>
      </c>
      <c r="S14" s="7">
        <v>0</v>
      </c>
      <c r="T14" s="3">
        <v>0</v>
      </c>
      <c r="U14" s="4">
        <f t="shared" si="3"/>
        <v>0</v>
      </c>
      <c r="V14" s="3">
        <v>0</v>
      </c>
      <c r="W14" s="17">
        <v>0</v>
      </c>
      <c r="X14" s="17"/>
      <c r="Y14" s="17"/>
      <c r="Z14" s="3"/>
      <c r="AA14" s="7">
        <v>0</v>
      </c>
      <c r="AC14" s="3">
        <v>0</v>
      </c>
      <c r="AD14" s="3">
        <v>0</v>
      </c>
      <c r="AE14" s="3">
        <v>0</v>
      </c>
      <c r="AF14" s="4">
        <v>0</v>
      </c>
      <c r="AG14" s="3">
        <v>0</v>
      </c>
      <c r="AH14" s="17">
        <v>0</v>
      </c>
      <c r="AI14" s="17"/>
      <c r="AJ14" s="17"/>
      <c r="AK14" s="3"/>
      <c r="AL14" s="7">
        <v>0</v>
      </c>
      <c r="AN14" s="17">
        <v>0</v>
      </c>
      <c r="AO14" s="17">
        <v>0</v>
      </c>
      <c r="AP14" s="17">
        <v>0</v>
      </c>
      <c r="AQ14" s="4">
        <v>0</v>
      </c>
      <c r="AR14" s="3">
        <v>0</v>
      </c>
      <c r="AS14" s="17">
        <f t="shared" si="4"/>
        <v>0</v>
      </c>
      <c r="AT14" s="17"/>
      <c r="AU14" s="17"/>
      <c r="AV14" s="3"/>
      <c r="AW14" s="7">
        <v>0</v>
      </c>
      <c r="AY14" s="17">
        <f t="shared" si="5"/>
        <v>0</v>
      </c>
      <c r="AZ14" s="17">
        <f t="shared" si="6"/>
        <v>0.9</v>
      </c>
      <c r="BA14" s="17">
        <f t="shared" si="7"/>
        <v>-2.7450000000000001</v>
      </c>
      <c r="BB14" s="4">
        <f t="shared" si="8"/>
        <v>-3.05</v>
      </c>
      <c r="BC14" s="3">
        <f t="shared" si="0"/>
        <v>22500</v>
      </c>
      <c r="BD14" s="3">
        <f t="shared" si="1"/>
        <v>0.33749999999999997</v>
      </c>
      <c r="BE14" s="3"/>
      <c r="BF14" s="3"/>
      <c r="BG14" s="7"/>
      <c r="BH14" s="7">
        <f t="shared" si="9"/>
        <v>2.5000000000000001E-2</v>
      </c>
      <c r="BJ14" s="5" t="s">
        <v>100</v>
      </c>
      <c r="BK14" s="5" t="s">
        <v>100</v>
      </c>
      <c r="BL14" s="5" t="s">
        <v>100</v>
      </c>
      <c r="BN14" s="21">
        <f>809775/100000</f>
        <v>8.0977499999999996</v>
      </c>
      <c r="BP14">
        <f>90000/100000</f>
        <v>0.9</v>
      </c>
      <c r="BT14" s="5" t="s">
        <v>101</v>
      </c>
      <c r="BV14" t="s">
        <v>100</v>
      </c>
      <c r="BX14" s="5" t="s">
        <v>115</v>
      </c>
      <c r="BZ14" t="s">
        <v>101</v>
      </c>
    </row>
    <row r="15" spans="1:78" x14ac:dyDescent="0.35">
      <c r="A15" s="3" t="s">
        <v>23</v>
      </c>
      <c r="B15" s="3" t="s">
        <v>70</v>
      </c>
      <c r="C15" s="3" t="s">
        <v>93</v>
      </c>
      <c r="D15" s="2" t="s">
        <v>118</v>
      </c>
      <c r="E15" s="3" t="s">
        <v>2</v>
      </c>
      <c r="F15" s="5"/>
      <c r="G15" s="14">
        <v>0</v>
      </c>
      <c r="H15" s="17">
        <v>0</v>
      </c>
      <c r="I15" s="3">
        <v>0</v>
      </c>
      <c r="J15" s="4">
        <f t="shared" si="2"/>
        <v>0</v>
      </c>
      <c r="K15" s="3">
        <v>0</v>
      </c>
      <c r="L15" s="17">
        <v>0</v>
      </c>
      <c r="M15" s="17"/>
      <c r="N15" s="6"/>
      <c r="O15" s="3"/>
      <c r="P15" s="7">
        <v>0</v>
      </c>
      <c r="Q15" s="15"/>
      <c r="R15" s="7">
        <v>0</v>
      </c>
      <c r="S15" s="7">
        <v>0</v>
      </c>
      <c r="T15" s="3">
        <v>0</v>
      </c>
      <c r="U15" s="4">
        <f t="shared" si="3"/>
        <v>0</v>
      </c>
      <c r="V15" s="3">
        <v>0</v>
      </c>
      <c r="W15" s="17">
        <v>0</v>
      </c>
      <c r="X15" s="17"/>
      <c r="Y15" s="17"/>
      <c r="Z15" s="3"/>
      <c r="AA15" s="7">
        <v>0</v>
      </c>
      <c r="AC15" s="3">
        <v>0</v>
      </c>
      <c r="AD15" s="3">
        <v>0</v>
      </c>
      <c r="AE15" s="3">
        <v>0</v>
      </c>
      <c r="AF15" s="4">
        <v>0</v>
      </c>
      <c r="AG15" s="3">
        <v>0</v>
      </c>
      <c r="AH15" s="17">
        <v>0</v>
      </c>
      <c r="AI15" s="17"/>
      <c r="AJ15" s="17"/>
      <c r="AK15" s="3"/>
      <c r="AL15" s="7">
        <v>0</v>
      </c>
      <c r="AN15" s="17">
        <v>0</v>
      </c>
      <c r="AO15" s="17">
        <v>0</v>
      </c>
      <c r="AP15" s="17">
        <v>0</v>
      </c>
      <c r="AQ15" s="4">
        <v>0</v>
      </c>
      <c r="AR15" s="3">
        <v>0</v>
      </c>
      <c r="AS15" s="17">
        <f t="shared" si="4"/>
        <v>0</v>
      </c>
      <c r="AT15" s="17"/>
      <c r="AU15" s="17"/>
      <c r="AV15" s="3"/>
      <c r="AW15" s="7">
        <v>0</v>
      </c>
      <c r="AY15" s="17">
        <f t="shared" si="5"/>
        <v>0</v>
      </c>
      <c r="AZ15" s="17">
        <f t="shared" si="6"/>
        <v>0</v>
      </c>
      <c r="BA15" s="17">
        <f t="shared" si="7"/>
        <v>0</v>
      </c>
      <c r="BB15" s="4">
        <f t="shared" si="8"/>
        <v>0</v>
      </c>
      <c r="BC15" s="3">
        <f t="shared" si="0"/>
        <v>0</v>
      </c>
      <c r="BD15" s="3">
        <f t="shared" si="1"/>
        <v>0</v>
      </c>
      <c r="BE15" s="3"/>
      <c r="BF15" s="3"/>
      <c r="BG15" s="7"/>
      <c r="BH15" s="7">
        <f t="shared" si="9"/>
        <v>0</v>
      </c>
      <c r="BJ15" s="5" t="s">
        <v>100</v>
      </c>
      <c r="BK15" s="5" t="s">
        <v>100</v>
      </c>
      <c r="BL15" s="5" t="s">
        <v>100</v>
      </c>
      <c r="BN15" s="21"/>
      <c r="BP15">
        <v>0</v>
      </c>
      <c r="BT15" s="5" t="s">
        <v>101</v>
      </c>
      <c r="BV15" t="s">
        <v>101</v>
      </c>
      <c r="BX15" s="5"/>
      <c r="BZ15" t="s">
        <v>101</v>
      </c>
    </row>
    <row r="16" spans="1:78" x14ac:dyDescent="0.35">
      <c r="A16" s="3" t="s">
        <v>42</v>
      </c>
      <c r="B16" s="3" t="s">
        <v>83</v>
      </c>
      <c r="C16" s="3" t="s">
        <v>89</v>
      </c>
      <c r="D16" s="2" t="s">
        <v>118</v>
      </c>
      <c r="E16" s="3" t="s">
        <v>71</v>
      </c>
      <c r="F16" s="5"/>
      <c r="G16" s="14">
        <v>12</v>
      </c>
      <c r="H16" s="17">
        <v>13.59169</v>
      </c>
      <c r="I16" s="3">
        <v>4.2973875819615852</v>
      </c>
      <c r="J16" s="4">
        <f t="shared" si="2"/>
        <v>0.31617757482414516</v>
      </c>
      <c r="K16" s="3">
        <v>84493.658345803764</v>
      </c>
      <c r="L16" s="17">
        <v>3.6666666666666665</v>
      </c>
      <c r="M16" s="17"/>
      <c r="N16" s="6"/>
      <c r="O16" s="3"/>
      <c r="P16" s="7">
        <v>2.2652816666666666</v>
      </c>
      <c r="Q16" s="15"/>
      <c r="R16" s="7">
        <v>13</v>
      </c>
      <c r="S16" s="7">
        <v>13</v>
      </c>
      <c r="T16" s="3">
        <v>2.7762673401577427</v>
      </c>
      <c r="U16" s="4">
        <f t="shared" si="3"/>
        <v>0.21355902616598021</v>
      </c>
      <c r="V16" s="3">
        <v>92943.024180384149</v>
      </c>
      <c r="W16" s="17">
        <v>3.6666666666666665</v>
      </c>
      <c r="X16" s="17"/>
      <c r="Y16" s="17"/>
      <c r="Z16" s="3"/>
      <c r="AA16" s="7">
        <v>2.1666666666666665</v>
      </c>
      <c r="AC16" s="3">
        <v>11</v>
      </c>
      <c r="AD16" s="3">
        <v>11</v>
      </c>
      <c r="AE16" s="3">
        <v>0.77626734015774268</v>
      </c>
      <c r="AF16" s="4">
        <v>7.0569758196158419E-2</v>
      </c>
      <c r="AG16" s="3">
        <v>92943.024180384149</v>
      </c>
      <c r="AH16" s="17">
        <v>3.6666666666666665</v>
      </c>
      <c r="AI16" s="17"/>
      <c r="AJ16" s="17"/>
      <c r="AK16" s="3"/>
      <c r="AL16" s="7">
        <v>1.8333333333333333</v>
      </c>
      <c r="AN16" s="17">
        <v>12</v>
      </c>
      <c r="AO16" s="17">
        <v>12</v>
      </c>
      <c r="AP16" s="17">
        <v>1.7762673401577427</v>
      </c>
      <c r="AQ16" s="4">
        <v>0.14802227834647855</v>
      </c>
      <c r="AR16" s="3">
        <v>92943.024180384149</v>
      </c>
      <c r="AS16" s="17">
        <f t="shared" si="4"/>
        <v>3.6666666666666665</v>
      </c>
      <c r="AT16" s="17"/>
      <c r="AU16" s="17"/>
      <c r="AV16" s="3"/>
      <c r="AW16" s="7">
        <v>2</v>
      </c>
      <c r="AY16" s="17">
        <f t="shared" si="5"/>
        <v>48</v>
      </c>
      <c r="AZ16" s="17">
        <f t="shared" si="6"/>
        <v>49.59169</v>
      </c>
      <c r="BA16" s="17">
        <f t="shared" si="7"/>
        <v>9.6261896024348133</v>
      </c>
      <c r="BB16" s="4">
        <f t="shared" si="8"/>
        <v>0.19410892434669624</v>
      </c>
      <c r="BC16" s="3">
        <f t="shared" si="0"/>
        <v>90830.682721739053</v>
      </c>
      <c r="BD16" s="3">
        <f t="shared" si="1"/>
        <v>3.6666666666666665</v>
      </c>
      <c r="BE16" s="3"/>
      <c r="BF16" s="3"/>
      <c r="BG16" s="7"/>
      <c r="BH16" s="7">
        <f t="shared" si="9"/>
        <v>2.0663204166666667</v>
      </c>
      <c r="BJ16" s="5" t="s">
        <v>100</v>
      </c>
      <c r="BK16" s="5" t="s">
        <v>100</v>
      </c>
      <c r="BL16" s="5" t="s">
        <v>100</v>
      </c>
      <c r="BN16" s="21">
        <f>12920/100000</f>
        <v>0.12920000000000001</v>
      </c>
      <c r="BP16">
        <v>0</v>
      </c>
      <c r="BT16" s="5" t="s">
        <v>101</v>
      </c>
      <c r="BV16" t="s">
        <v>101</v>
      </c>
      <c r="BX16" s="5" t="s">
        <v>106</v>
      </c>
      <c r="BZ16" t="s">
        <v>101</v>
      </c>
    </row>
    <row r="17" spans="1:78" x14ac:dyDescent="0.35">
      <c r="A17" s="3" t="s">
        <v>10</v>
      </c>
      <c r="B17" s="3" t="s">
        <v>70</v>
      </c>
      <c r="C17" s="3" t="s">
        <v>90</v>
      </c>
      <c r="D17" s="2" t="s">
        <v>118</v>
      </c>
      <c r="E17" s="3" t="s">
        <v>2</v>
      </c>
      <c r="F17" s="5"/>
      <c r="G17" s="14">
        <v>305</v>
      </c>
      <c r="H17" s="17">
        <v>364.6077823</v>
      </c>
      <c r="I17" s="3">
        <v>137.39413898733835</v>
      </c>
      <c r="J17" s="4">
        <f t="shared" si="2"/>
        <v>0.37682722546577513</v>
      </c>
      <c r="K17" s="3">
        <v>93889.935253165968</v>
      </c>
      <c r="L17" s="17">
        <v>80.666666666666671</v>
      </c>
      <c r="M17" s="17"/>
      <c r="N17" s="6"/>
      <c r="O17" s="3"/>
      <c r="P17" s="7">
        <v>1.8414534459595959</v>
      </c>
      <c r="Q17" s="15"/>
      <c r="R17" s="7">
        <v>330</v>
      </c>
      <c r="S17" s="7">
        <v>330</v>
      </c>
      <c r="T17" s="3">
        <v>80.064992356072167</v>
      </c>
      <c r="U17" s="4">
        <f t="shared" si="3"/>
        <v>0.24262118895779444</v>
      </c>
      <c r="V17" s="3">
        <v>103278.92877848257</v>
      </c>
      <c r="W17" s="17">
        <v>80.666666666666671</v>
      </c>
      <c r="X17" s="17"/>
      <c r="Y17" s="17"/>
      <c r="Z17" s="3"/>
      <c r="AA17" s="7">
        <v>1.6666666666666667</v>
      </c>
      <c r="AC17" s="3">
        <v>360</v>
      </c>
      <c r="AD17" s="3">
        <v>360</v>
      </c>
      <c r="AE17" s="3">
        <v>110.06499235607217</v>
      </c>
      <c r="AF17" s="4">
        <v>0.30573608987797823</v>
      </c>
      <c r="AG17" s="3">
        <v>103278.92877848257</v>
      </c>
      <c r="AH17" s="17">
        <v>80.666666666666671</v>
      </c>
      <c r="AI17" s="17"/>
      <c r="AJ17" s="17"/>
      <c r="AK17" s="3"/>
      <c r="AL17" s="7">
        <v>1.8181818181818181</v>
      </c>
      <c r="AN17" s="17">
        <v>390</v>
      </c>
      <c r="AO17" s="17">
        <v>390</v>
      </c>
      <c r="AP17" s="17">
        <v>140.06499235607217</v>
      </c>
      <c r="AQ17" s="4">
        <v>0.35914100604121069</v>
      </c>
      <c r="AR17" s="3">
        <v>103278.92877848257</v>
      </c>
      <c r="AS17" s="17">
        <f t="shared" si="4"/>
        <v>80.666666666666671</v>
      </c>
      <c r="AT17" s="17"/>
      <c r="AU17" s="17"/>
      <c r="AV17" s="3"/>
      <c r="AW17" s="7">
        <v>1.9696969696969697</v>
      </c>
      <c r="AY17" s="17">
        <f t="shared" si="5"/>
        <v>1385</v>
      </c>
      <c r="AZ17" s="17">
        <f t="shared" si="6"/>
        <v>1444.6077823000001</v>
      </c>
      <c r="BA17" s="17">
        <f t="shared" si="7"/>
        <v>467.58911605555488</v>
      </c>
      <c r="BB17" s="4">
        <f t="shared" si="8"/>
        <v>0.32367894025262228</v>
      </c>
      <c r="BC17" s="3">
        <f t="shared" si="0"/>
        <v>100931.68039715342</v>
      </c>
      <c r="BD17" s="3">
        <f t="shared" si="1"/>
        <v>80.666666666666671</v>
      </c>
      <c r="BE17" s="3"/>
      <c r="BF17" s="3"/>
      <c r="BG17" s="7"/>
      <c r="BH17" s="7">
        <f t="shared" si="9"/>
        <v>1.8239997251262627</v>
      </c>
      <c r="BJ17" s="5" t="s">
        <v>100</v>
      </c>
      <c r="BK17" s="5" t="s">
        <v>100</v>
      </c>
      <c r="BL17" s="5" t="s">
        <v>100</v>
      </c>
      <c r="BN17" s="21"/>
      <c r="BP17">
        <v>0</v>
      </c>
      <c r="BR17">
        <f>17110481/100000</f>
        <v>171.10480999999999</v>
      </c>
      <c r="BT17" s="5" t="s">
        <v>101</v>
      </c>
      <c r="BV17" t="s">
        <v>101</v>
      </c>
      <c r="BX17" s="5" t="s">
        <v>107</v>
      </c>
      <c r="BZ17" t="s">
        <v>100</v>
      </c>
    </row>
    <row r="18" spans="1:78" x14ac:dyDescent="0.35">
      <c r="A18" s="3" t="s">
        <v>20</v>
      </c>
      <c r="B18" s="3" t="s">
        <v>70</v>
      </c>
      <c r="C18" s="3" t="s">
        <v>93</v>
      </c>
      <c r="D18" s="2" t="s">
        <v>118</v>
      </c>
      <c r="E18" s="3" t="s">
        <v>2</v>
      </c>
      <c r="F18" s="5"/>
      <c r="G18" s="14">
        <v>70</v>
      </c>
      <c r="H18" s="17">
        <v>76.191083499999991</v>
      </c>
      <c r="I18" s="3">
        <v>36.998225002405718</v>
      </c>
      <c r="J18" s="4">
        <f t="shared" si="2"/>
        <v>0.48559783248660221</v>
      </c>
      <c r="K18" s="3">
        <v>130642.86165864758</v>
      </c>
      <c r="L18" s="17">
        <v>10</v>
      </c>
      <c r="M18" s="17"/>
      <c r="N18" s="6"/>
      <c r="O18" s="3"/>
      <c r="P18" s="7">
        <v>8.4656759444444436</v>
      </c>
      <c r="Q18" s="15"/>
      <c r="R18" s="7">
        <v>70</v>
      </c>
      <c r="S18" s="7">
        <v>70</v>
      </c>
      <c r="T18" s="3">
        <v>26.887855652646294</v>
      </c>
      <c r="U18" s="4">
        <f t="shared" si="3"/>
        <v>0.38411222360923275</v>
      </c>
      <c r="V18" s="3">
        <v>143707.14782451236</v>
      </c>
      <c r="W18" s="17">
        <v>10</v>
      </c>
      <c r="X18" s="17"/>
      <c r="Y18" s="17"/>
      <c r="Z18" s="3"/>
      <c r="AA18" s="7">
        <v>7.7777777777777777</v>
      </c>
      <c r="AC18" s="3">
        <v>40</v>
      </c>
      <c r="AD18" s="3">
        <v>40</v>
      </c>
      <c r="AE18" s="3">
        <v>-3.1121443473537056</v>
      </c>
      <c r="AF18" s="4">
        <v>-7.7803608683842645E-2</v>
      </c>
      <c r="AG18" s="3">
        <v>143707.14782451236</v>
      </c>
      <c r="AH18" s="17">
        <v>10</v>
      </c>
      <c r="AI18" s="17"/>
      <c r="AJ18" s="17"/>
      <c r="AK18" s="3"/>
      <c r="AL18" s="7">
        <v>4.4444444444444446</v>
      </c>
      <c r="AN18" s="17">
        <v>70</v>
      </c>
      <c r="AO18" s="17">
        <v>70</v>
      </c>
      <c r="AP18" s="17">
        <v>26.887855652646294</v>
      </c>
      <c r="AQ18" s="4">
        <v>0.38411222360923275</v>
      </c>
      <c r="AR18" s="3">
        <v>143707.14782451236</v>
      </c>
      <c r="AS18" s="17">
        <f t="shared" si="4"/>
        <v>10</v>
      </c>
      <c r="AT18" s="17"/>
      <c r="AU18" s="17"/>
      <c r="AV18" s="3"/>
      <c r="AW18" s="7">
        <v>7.7777777777777777</v>
      </c>
      <c r="AY18" s="17">
        <f t="shared" si="5"/>
        <v>250</v>
      </c>
      <c r="AZ18" s="17">
        <f t="shared" si="6"/>
        <v>256.19108349999999</v>
      </c>
      <c r="BA18" s="17">
        <f t="shared" si="7"/>
        <v>87.661791960344601</v>
      </c>
      <c r="BB18" s="4">
        <f t="shared" si="8"/>
        <v>0.3421734697505372</v>
      </c>
      <c r="BC18" s="3">
        <f t="shared" si="0"/>
        <v>140441.07628304616</v>
      </c>
      <c r="BD18" s="3">
        <f t="shared" si="1"/>
        <v>10</v>
      </c>
      <c r="BE18" s="3"/>
      <c r="BF18" s="3"/>
      <c r="BG18" s="7"/>
      <c r="BH18" s="7">
        <f t="shared" si="9"/>
        <v>7.1164189861111105</v>
      </c>
      <c r="BJ18" s="5" t="s">
        <v>100</v>
      </c>
      <c r="BK18" s="5" t="s">
        <v>100</v>
      </c>
      <c r="BL18" s="5" t="s">
        <v>100</v>
      </c>
      <c r="BN18" s="21"/>
      <c r="BP18">
        <v>0</v>
      </c>
      <c r="BT18" s="5" t="s">
        <v>101</v>
      </c>
      <c r="BV18" t="s">
        <v>101</v>
      </c>
      <c r="BX18" s="5"/>
      <c r="BZ18" t="s">
        <v>101</v>
      </c>
    </row>
    <row r="19" spans="1:78" x14ac:dyDescent="0.35">
      <c r="A19" s="3" t="s">
        <v>43</v>
      </c>
      <c r="B19" s="3" t="s">
        <v>84</v>
      </c>
      <c r="C19" s="3" t="s">
        <v>84</v>
      </c>
      <c r="D19" s="2" t="s">
        <v>118</v>
      </c>
      <c r="E19" s="3" t="s">
        <v>84</v>
      </c>
      <c r="F19" s="5"/>
      <c r="G19" s="14">
        <v>150</v>
      </c>
      <c r="H19" s="17">
        <v>85.987499999999997</v>
      </c>
      <c r="I19" s="3">
        <v>49.81770738662749</v>
      </c>
      <c r="J19" s="4">
        <f t="shared" si="2"/>
        <v>0.5793598765707515</v>
      </c>
      <c r="K19" s="3">
        <v>98824.569981892113</v>
      </c>
      <c r="L19" s="17">
        <v>12.199999999999998</v>
      </c>
      <c r="M19" s="17"/>
      <c r="N19" s="6"/>
      <c r="O19" s="3"/>
      <c r="P19" s="7">
        <v>2.86625</v>
      </c>
      <c r="Q19" s="15"/>
      <c r="R19" s="7">
        <v>150</v>
      </c>
      <c r="S19" s="7">
        <v>150</v>
      </c>
      <c r="T19" s="3">
        <v>110.21322812529024</v>
      </c>
      <c r="U19" s="4">
        <f t="shared" si="3"/>
        <v>0.73475485416860165</v>
      </c>
      <c r="V19" s="3">
        <v>108707.02698008134</v>
      </c>
      <c r="W19" s="17">
        <v>12.199999999999998</v>
      </c>
      <c r="X19" s="17"/>
      <c r="Y19" s="17"/>
      <c r="Z19" s="3"/>
      <c r="AA19" s="7">
        <v>5</v>
      </c>
      <c r="AC19" s="3">
        <v>100</v>
      </c>
      <c r="AD19" s="3">
        <v>100</v>
      </c>
      <c r="AE19" s="3">
        <v>60.213228125290236</v>
      </c>
      <c r="AF19" s="4">
        <v>0.60213228125290241</v>
      </c>
      <c r="AG19" s="3">
        <v>108707.02698008134</v>
      </c>
      <c r="AH19" s="17">
        <v>12.199999999999998</v>
      </c>
      <c r="AI19" s="17"/>
      <c r="AJ19" s="17"/>
      <c r="AK19" s="3"/>
      <c r="AL19" s="7">
        <v>3.3333333333333335</v>
      </c>
      <c r="AN19" s="17">
        <v>150</v>
      </c>
      <c r="AO19" s="17">
        <v>150</v>
      </c>
      <c r="AP19" s="17">
        <v>110.21322812529024</v>
      </c>
      <c r="AQ19" s="4">
        <v>0.73475485416860165</v>
      </c>
      <c r="AR19" s="3">
        <v>108707.02698008134</v>
      </c>
      <c r="AS19" s="17">
        <f t="shared" si="4"/>
        <v>12.199999999999998</v>
      </c>
      <c r="AT19" s="17"/>
      <c r="AU19" s="17"/>
      <c r="AV19" s="3"/>
      <c r="AW19" s="7">
        <v>5</v>
      </c>
      <c r="AY19" s="17">
        <f t="shared" si="5"/>
        <v>550</v>
      </c>
      <c r="AZ19" s="17">
        <f t="shared" si="6"/>
        <v>485.98750000000001</v>
      </c>
      <c r="BA19" s="17">
        <f t="shared" si="7"/>
        <v>330.45739176249822</v>
      </c>
      <c r="BB19" s="4">
        <f t="shared" si="8"/>
        <v>0.67997096995807138</v>
      </c>
      <c r="BC19" s="3">
        <f t="shared" si="0"/>
        <v>106236.41273053404</v>
      </c>
      <c r="BD19" s="3">
        <f t="shared" si="1"/>
        <v>12.199999999999998</v>
      </c>
      <c r="BE19" s="3"/>
      <c r="BF19" s="3"/>
      <c r="BG19" s="7"/>
      <c r="BH19" s="7">
        <f t="shared" si="9"/>
        <v>4.0498958333333333</v>
      </c>
      <c r="BJ19" s="5" t="s">
        <v>100</v>
      </c>
      <c r="BK19" s="5" t="s">
        <v>100</v>
      </c>
      <c r="BL19" s="5" t="s">
        <v>100</v>
      </c>
      <c r="BN19" s="21"/>
      <c r="BP19">
        <f>3998750/100000</f>
        <v>39.987499999999997</v>
      </c>
      <c r="BT19" s="5" t="s">
        <v>101</v>
      </c>
      <c r="BV19" t="s">
        <v>101</v>
      </c>
      <c r="BX19" s="5" t="s">
        <v>106</v>
      </c>
      <c r="BZ19" t="s">
        <v>100</v>
      </c>
    </row>
    <row r="20" spans="1:78" x14ac:dyDescent="0.35">
      <c r="A20" s="3" t="s">
        <v>11</v>
      </c>
      <c r="B20" s="3" t="s">
        <v>70</v>
      </c>
      <c r="C20" s="3" t="s">
        <v>86</v>
      </c>
      <c r="D20" s="2" t="s">
        <v>118</v>
      </c>
      <c r="E20" s="3" t="s">
        <v>2</v>
      </c>
      <c r="F20" s="5"/>
      <c r="G20" s="14">
        <v>20.110000000000003</v>
      </c>
      <c r="H20" s="17">
        <v>26.270800000000001</v>
      </c>
      <c r="I20" s="3">
        <v>14.87647828160393</v>
      </c>
      <c r="J20" s="4">
        <f t="shared" si="2"/>
        <v>0.56627427720525947</v>
      </c>
      <c r="K20" s="3">
        <v>87648.628603046702</v>
      </c>
      <c r="L20" s="17">
        <v>4.333333333333333</v>
      </c>
      <c r="M20" s="17"/>
      <c r="N20" s="6"/>
      <c r="O20" s="3"/>
      <c r="P20" s="7">
        <v>2.5019809523809524</v>
      </c>
      <c r="Q20" s="15"/>
      <c r="R20" s="7">
        <v>24.865000000000002</v>
      </c>
      <c r="S20" s="7">
        <v>24.865000000000002</v>
      </c>
      <c r="T20" s="3">
        <v>12.331246109764322</v>
      </c>
      <c r="U20" s="4">
        <f t="shared" si="3"/>
        <v>0.49592785480652812</v>
      </c>
      <c r="V20" s="3">
        <v>96413.491463351384</v>
      </c>
      <c r="W20" s="17">
        <v>4.333333333333333</v>
      </c>
      <c r="X20" s="17"/>
      <c r="Y20" s="17"/>
      <c r="Z20" s="3"/>
      <c r="AA20" s="7">
        <v>2.3680952380952385</v>
      </c>
      <c r="AC20" s="3">
        <v>25.634999999999998</v>
      </c>
      <c r="AD20" s="3">
        <v>25.634999999999998</v>
      </c>
      <c r="AE20" s="3">
        <v>13.101246109764318</v>
      </c>
      <c r="AF20" s="4">
        <v>0.51106869942517341</v>
      </c>
      <c r="AG20" s="3">
        <v>96413.491463351384</v>
      </c>
      <c r="AH20" s="17">
        <v>4.333333333333333</v>
      </c>
      <c r="AI20" s="17"/>
      <c r="AJ20" s="17"/>
      <c r="AK20" s="3"/>
      <c r="AL20" s="7">
        <v>2.4414285714285713</v>
      </c>
      <c r="AN20" s="17">
        <v>23.71</v>
      </c>
      <c r="AO20" s="17">
        <v>23.71</v>
      </c>
      <c r="AP20" s="17">
        <v>11.176246109764321</v>
      </c>
      <c r="AQ20" s="4">
        <v>0.47137267438904767</v>
      </c>
      <c r="AR20" s="3">
        <v>96413.491463351384</v>
      </c>
      <c r="AS20" s="17">
        <f t="shared" si="4"/>
        <v>4.333333333333333</v>
      </c>
      <c r="AT20" s="17"/>
      <c r="AU20" s="17"/>
      <c r="AV20" s="3"/>
      <c r="AW20" s="7">
        <v>2.2580952380952382</v>
      </c>
      <c r="AY20" s="17">
        <f t="shared" si="5"/>
        <v>94.320000000000007</v>
      </c>
      <c r="AZ20" s="17">
        <f t="shared" si="6"/>
        <v>100.48080000000002</v>
      </c>
      <c r="BA20" s="17">
        <f t="shared" si="7"/>
        <v>51.485216610896892</v>
      </c>
      <c r="BB20" s="4">
        <f t="shared" si="8"/>
        <v>0.51238860171193779</v>
      </c>
      <c r="BC20" s="3">
        <f t="shared" si="0"/>
        <v>94222.27574827522</v>
      </c>
      <c r="BD20" s="3">
        <f t="shared" si="1"/>
        <v>4.333333333333333</v>
      </c>
      <c r="BE20" s="3"/>
      <c r="BF20" s="3"/>
      <c r="BG20" s="7"/>
      <c r="BH20" s="7">
        <f t="shared" si="9"/>
        <v>2.3923999999999999</v>
      </c>
      <c r="BJ20" s="5" t="s">
        <v>100</v>
      </c>
      <c r="BK20" s="5" t="s">
        <v>100</v>
      </c>
      <c r="BL20" s="5" t="s">
        <v>100</v>
      </c>
      <c r="BN20" s="21"/>
      <c r="BP20">
        <f>699080/100000</f>
        <v>6.9908000000000001</v>
      </c>
      <c r="BR20">
        <f>3300161/100000</f>
        <v>33.001609999999999</v>
      </c>
      <c r="BT20" s="5" t="s">
        <v>101</v>
      </c>
      <c r="BV20" t="s">
        <v>101</v>
      </c>
      <c r="BX20" s="5" t="s">
        <v>114</v>
      </c>
      <c r="BZ20" t="s">
        <v>101</v>
      </c>
    </row>
    <row r="21" spans="1:78" x14ac:dyDescent="0.35">
      <c r="A21" s="3" t="s">
        <v>12</v>
      </c>
      <c r="B21" s="3" t="s">
        <v>70</v>
      </c>
      <c r="C21" s="3" t="s">
        <v>91</v>
      </c>
      <c r="D21" s="2" t="s">
        <v>118</v>
      </c>
      <c r="E21" s="3" t="s">
        <v>2</v>
      </c>
      <c r="F21" s="5"/>
      <c r="G21" s="14">
        <v>90</v>
      </c>
      <c r="H21" s="17">
        <v>109.23983000000001</v>
      </c>
      <c r="I21" s="3">
        <v>10.614882712791442</v>
      </c>
      <c r="J21" s="4">
        <f t="shared" si="2"/>
        <v>9.7170443351948105E-2</v>
      </c>
      <c r="K21" s="3">
        <v>92605.584307238096</v>
      </c>
      <c r="L21" s="17">
        <v>35.5</v>
      </c>
      <c r="M21" s="17"/>
      <c r="N21" s="6"/>
      <c r="O21" s="3"/>
      <c r="P21" s="7">
        <v>1.0554572946859904</v>
      </c>
      <c r="Q21" s="15"/>
      <c r="R21" s="7">
        <v>90</v>
      </c>
      <c r="S21" s="7">
        <v>90</v>
      </c>
      <c r="T21" s="3">
        <v>-18.487442015929446</v>
      </c>
      <c r="U21" s="4">
        <f t="shared" si="3"/>
        <v>-0.20541602239921605</v>
      </c>
      <c r="V21" s="3">
        <v>101866.14273796191</v>
      </c>
      <c r="W21" s="17">
        <v>35.5</v>
      </c>
      <c r="X21" s="17"/>
      <c r="Y21" s="17"/>
      <c r="Z21" s="3"/>
      <c r="AA21" s="7">
        <v>0.86956521739130432</v>
      </c>
      <c r="AC21" s="3">
        <v>90</v>
      </c>
      <c r="AD21" s="3">
        <v>90</v>
      </c>
      <c r="AE21" s="3">
        <v>-18.487442015929446</v>
      </c>
      <c r="AF21" s="4">
        <v>-0.20541602239921605</v>
      </c>
      <c r="AG21" s="3">
        <v>101866.14273796191</v>
      </c>
      <c r="AH21" s="17">
        <v>35.5</v>
      </c>
      <c r="AI21" s="17"/>
      <c r="AJ21" s="17"/>
      <c r="AK21" s="3"/>
      <c r="AL21" s="7">
        <v>0.86956521739130432</v>
      </c>
      <c r="AN21" s="17">
        <v>90</v>
      </c>
      <c r="AO21" s="17">
        <v>90</v>
      </c>
      <c r="AP21" s="17">
        <v>-18.487442015929446</v>
      </c>
      <c r="AQ21" s="4">
        <v>-0.20541602239921605</v>
      </c>
      <c r="AR21" s="3">
        <v>101866.14273796191</v>
      </c>
      <c r="AS21" s="17">
        <f t="shared" si="4"/>
        <v>35.5</v>
      </c>
      <c r="AT21" s="17"/>
      <c r="AU21" s="17"/>
      <c r="AV21" s="3"/>
      <c r="AW21" s="7">
        <v>0.86956521739130432</v>
      </c>
      <c r="AY21" s="17">
        <f t="shared" si="5"/>
        <v>360</v>
      </c>
      <c r="AZ21" s="17">
        <f t="shared" si="6"/>
        <v>379.23982999999998</v>
      </c>
      <c r="BA21" s="17">
        <f t="shared" si="7"/>
        <v>-44.847443334996896</v>
      </c>
      <c r="BB21" s="4">
        <f t="shared" si="8"/>
        <v>-0.11825615293361169</v>
      </c>
      <c r="BC21" s="3">
        <f t="shared" si="0"/>
        <v>99551.003130280951</v>
      </c>
      <c r="BD21" s="3">
        <f t="shared" si="1"/>
        <v>35.5</v>
      </c>
      <c r="BE21" s="3"/>
      <c r="BF21" s="3"/>
      <c r="BG21" s="7"/>
      <c r="BH21" s="7">
        <f t="shared" si="9"/>
        <v>0.91603823671497575</v>
      </c>
      <c r="BJ21" s="5" t="s">
        <v>100</v>
      </c>
      <c r="BK21" s="5" t="s">
        <v>100</v>
      </c>
      <c r="BL21" s="5" t="s">
        <v>100</v>
      </c>
      <c r="BN21" s="21">
        <f>6916924/100000</f>
        <v>69.169240000000002</v>
      </c>
      <c r="BP21">
        <f>2627983/100000</f>
        <v>26.27983</v>
      </c>
      <c r="BT21" s="5" t="s">
        <v>101</v>
      </c>
      <c r="BV21" t="s">
        <v>100</v>
      </c>
      <c r="BX21" s="5" t="s">
        <v>107</v>
      </c>
      <c r="BZ21" t="s">
        <v>100</v>
      </c>
    </row>
    <row r="22" spans="1:78" x14ac:dyDescent="0.35">
      <c r="A22" s="3" t="s">
        <v>22</v>
      </c>
      <c r="B22" s="3" t="s">
        <v>70</v>
      </c>
      <c r="C22" s="3" t="s">
        <v>91</v>
      </c>
      <c r="D22" s="2" t="s">
        <v>118</v>
      </c>
      <c r="E22" s="3" t="s">
        <v>2</v>
      </c>
      <c r="F22" s="5"/>
      <c r="G22" s="14">
        <v>15</v>
      </c>
      <c r="H22" s="17">
        <v>4.7450000000000001</v>
      </c>
      <c r="I22" s="3">
        <v>2.6832903000433048</v>
      </c>
      <c r="J22" s="4">
        <f t="shared" si="2"/>
        <v>0.56549848262240354</v>
      </c>
      <c r="K22" s="3">
        <v>103085.48499783476</v>
      </c>
      <c r="L22" s="17">
        <v>0.66666666666666663</v>
      </c>
      <c r="M22" s="17"/>
      <c r="N22" s="6"/>
      <c r="O22" s="3"/>
      <c r="P22" s="7">
        <v>0</v>
      </c>
      <c r="Q22" s="15"/>
      <c r="R22" s="7">
        <v>23</v>
      </c>
      <c r="S22" s="7">
        <v>23</v>
      </c>
      <c r="T22" s="3">
        <v>20.732119330047635</v>
      </c>
      <c r="U22" s="4">
        <f t="shared" si="3"/>
        <v>0.90139649261076671</v>
      </c>
      <c r="V22" s="3">
        <v>113394.03349761825</v>
      </c>
      <c r="W22" s="17">
        <v>0.66666666666666663</v>
      </c>
      <c r="X22" s="17"/>
      <c r="Y22" s="17"/>
      <c r="Z22" s="3"/>
      <c r="AA22" s="7">
        <v>0</v>
      </c>
      <c r="AC22" s="3">
        <v>26</v>
      </c>
      <c r="AD22" s="3">
        <v>26</v>
      </c>
      <c r="AE22" s="3">
        <v>23.732119330047635</v>
      </c>
      <c r="AF22" s="4">
        <v>0.9127738203864475</v>
      </c>
      <c r="AG22" s="3">
        <v>113394.03349761825</v>
      </c>
      <c r="AH22" s="17">
        <v>0.66666666666666663</v>
      </c>
      <c r="AI22" s="17"/>
      <c r="AJ22" s="17"/>
      <c r="AK22" s="3"/>
      <c r="AL22" s="7">
        <v>0</v>
      </c>
      <c r="AN22" s="17">
        <v>26</v>
      </c>
      <c r="AO22" s="17">
        <v>26</v>
      </c>
      <c r="AP22" s="17">
        <v>23.732119330047635</v>
      </c>
      <c r="AQ22" s="4">
        <v>0.9127738203864475</v>
      </c>
      <c r="AR22" s="3">
        <v>113394.03349761825</v>
      </c>
      <c r="AS22" s="17">
        <f t="shared" si="4"/>
        <v>0.66666666666666663</v>
      </c>
      <c r="AT22" s="17"/>
      <c r="AU22" s="17"/>
      <c r="AV22" s="3"/>
      <c r="AW22" s="7">
        <v>0</v>
      </c>
      <c r="AY22" s="17">
        <f t="shared" si="5"/>
        <v>90</v>
      </c>
      <c r="AZ22" s="17">
        <f t="shared" si="6"/>
        <v>79.745000000000005</v>
      </c>
      <c r="BA22" s="17">
        <f t="shared" si="7"/>
        <v>70.879648290186211</v>
      </c>
      <c r="BB22" s="4">
        <f t="shared" si="8"/>
        <v>0.88882874525282096</v>
      </c>
      <c r="BC22" s="3">
        <f t="shared" si="0"/>
        <v>110816.89637267237</v>
      </c>
      <c r="BD22" s="3">
        <f t="shared" si="1"/>
        <v>0.66666666666666663</v>
      </c>
      <c r="BE22" s="3"/>
      <c r="BF22" s="3"/>
      <c r="BG22" s="7"/>
      <c r="BH22" s="7">
        <f t="shared" si="9"/>
        <v>0</v>
      </c>
      <c r="BJ22" s="5" t="s">
        <v>100</v>
      </c>
      <c r="BK22" s="5" t="s">
        <v>100</v>
      </c>
      <c r="BL22" s="5" t="s">
        <v>100</v>
      </c>
      <c r="BN22" s="21"/>
      <c r="BP22">
        <v>0</v>
      </c>
      <c r="BT22" s="5" t="s">
        <v>101</v>
      </c>
      <c r="BV22" t="s">
        <v>101</v>
      </c>
      <c r="BX22" s="5" t="s">
        <v>107</v>
      </c>
      <c r="BZ22" t="s">
        <v>101</v>
      </c>
    </row>
    <row r="23" spans="1:78" x14ac:dyDescent="0.35">
      <c r="A23" s="3" t="s">
        <v>44</v>
      </c>
      <c r="B23" s="3" t="s">
        <v>83</v>
      </c>
      <c r="C23" s="3" t="s">
        <v>88</v>
      </c>
      <c r="D23" s="2" t="s">
        <v>118</v>
      </c>
      <c r="E23" s="3" t="s">
        <v>71</v>
      </c>
      <c r="F23" s="5"/>
      <c r="G23" s="14">
        <v>4</v>
      </c>
      <c r="H23" s="17">
        <v>2.68445</v>
      </c>
      <c r="I23" s="3">
        <v>-0.61992166626462764</v>
      </c>
      <c r="J23" s="4">
        <f t="shared" si="2"/>
        <v>-0.23093060636801863</v>
      </c>
      <c r="K23" s="3">
        <v>110145.72220882092</v>
      </c>
      <c r="L23" s="17">
        <v>1</v>
      </c>
      <c r="M23" s="17"/>
      <c r="N23" s="6"/>
      <c r="O23" s="3"/>
      <c r="P23" s="7">
        <v>0.8948166666666667</v>
      </c>
      <c r="Q23" s="15"/>
      <c r="R23" s="7">
        <v>4</v>
      </c>
      <c r="S23" s="7">
        <v>4</v>
      </c>
      <c r="T23" s="3">
        <v>0.36519116710890964</v>
      </c>
      <c r="U23" s="4">
        <f t="shared" si="3"/>
        <v>9.1297791777227411E-2</v>
      </c>
      <c r="V23" s="3">
        <v>121160.29442970302</v>
      </c>
      <c r="W23" s="17">
        <v>1</v>
      </c>
      <c r="X23" s="17"/>
      <c r="Y23" s="17"/>
      <c r="Z23" s="3"/>
      <c r="AA23" s="7">
        <v>1.3333333333333333</v>
      </c>
      <c r="AC23" s="3">
        <v>0</v>
      </c>
      <c r="AD23" s="3">
        <v>0</v>
      </c>
      <c r="AE23" s="3">
        <v>-3.6348088328910904</v>
      </c>
      <c r="AF23" s="4">
        <v>0</v>
      </c>
      <c r="AG23" s="3">
        <v>121160.29442970302</v>
      </c>
      <c r="AH23" s="17">
        <v>1</v>
      </c>
      <c r="AI23" s="17"/>
      <c r="AJ23" s="17"/>
      <c r="AK23" s="3"/>
      <c r="AL23" s="7">
        <v>0</v>
      </c>
      <c r="AN23" s="17">
        <v>0</v>
      </c>
      <c r="AO23" s="17">
        <v>0</v>
      </c>
      <c r="AP23" s="17">
        <v>-3.6348088328910904</v>
      </c>
      <c r="AQ23" s="4">
        <v>0</v>
      </c>
      <c r="AR23" s="3">
        <v>121160.29442970302</v>
      </c>
      <c r="AS23" s="17">
        <f t="shared" si="4"/>
        <v>1</v>
      </c>
      <c r="AT23" s="17"/>
      <c r="AU23" s="17"/>
      <c r="AV23" s="3"/>
      <c r="AW23" s="7">
        <v>0</v>
      </c>
      <c r="AY23" s="17">
        <f t="shared" si="5"/>
        <v>8</v>
      </c>
      <c r="AZ23" s="17">
        <f t="shared" si="6"/>
        <v>6.68445</v>
      </c>
      <c r="BA23" s="17">
        <f t="shared" si="7"/>
        <v>-7.5243481649378978</v>
      </c>
      <c r="BB23" s="4">
        <f t="shared" si="8"/>
        <v>-1.125649554553912</v>
      </c>
      <c r="BC23" s="3">
        <f t="shared" si="0"/>
        <v>118406.65137448251</v>
      </c>
      <c r="BD23" s="3">
        <f t="shared" si="1"/>
        <v>1</v>
      </c>
      <c r="BE23" s="3"/>
      <c r="BF23" s="3"/>
      <c r="BG23" s="7"/>
      <c r="BH23" s="7">
        <f t="shared" si="9"/>
        <v>0.55703749999999996</v>
      </c>
      <c r="BJ23" s="5" t="s">
        <v>100</v>
      </c>
      <c r="BK23" s="5" t="s">
        <v>100</v>
      </c>
      <c r="BL23" s="5" t="s">
        <v>100</v>
      </c>
      <c r="BN23" s="21">
        <f>622857.14/100000</f>
        <v>6.2285713999999999</v>
      </c>
      <c r="BP23">
        <f>68445/100000</f>
        <v>0.68445</v>
      </c>
      <c r="BR23">
        <f>1692607/100000</f>
        <v>16.926069999999999</v>
      </c>
      <c r="BT23" s="5" t="s">
        <v>101</v>
      </c>
      <c r="BV23" t="s">
        <v>101</v>
      </c>
      <c r="BX23" s="5"/>
      <c r="BZ23" t="s">
        <v>101</v>
      </c>
    </row>
    <row r="24" spans="1:78" x14ac:dyDescent="0.35">
      <c r="A24" s="3" t="s">
        <v>45</v>
      </c>
      <c r="B24" s="3" t="s">
        <v>70</v>
      </c>
      <c r="C24" s="3" t="s">
        <v>92</v>
      </c>
      <c r="D24" s="2" t="s">
        <v>118</v>
      </c>
      <c r="E24" s="3" t="s">
        <v>95</v>
      </c>
      <c r="F24" s="5"/>
      <c r="G24" s="14">
        <v>32</v>
      </c>
      <c r="H24" s="17">
        <v>12.710570000000001</v>
      </c>
      <c r="I24" s="3">
        <v>-2.4151834685570144</v>
      </c>
      <c r="J24" s="4">
        <f t="shared" si="2"/>
        <v>-0.19001378132979199</v>
      </c>
      <c r="K24" s="3">
        <v>100838.35645704676</v>
      </c>
      <c r="L24" s="17">
        <v>5</v>
      </c>
      <c r="M24" s="17"/>
      <c r="N24" s="6"/>
      <c r="O24" s="3"/>
      <c r="P24" s="7">
        <v>1.3667279569892472</v>
      </c>
      <c r="Q24" s="15"/>
      <c r="R24" s="7">
        <v>29</v>
      </c>
      <c r="S24" s="7">
        <v>29</v>
      </c>
      <c r="T24" s="3">
        <v>12.361671184587284</v>
      </c>
      <c r="U24" s="4">
        <f t="shared" si="3"/>
        <v>0.42626452360645806</v>
      </c>
      <c r="V24" s="3">
        <v>110922.19210275145</v>
      </c>
      <c r="W24" s="17">
        <v>5</v>
      </c>
      <c r="X24" s="17"/>
      <c r="Y24" s="17"/>
      <c r="Z24" s="3"/>
      <c r="AA24" s="7">
        <v>3.118279569892473</v>
      </c>
      <c r="AC24" s="3">
        <v>29</v>
      </c>
      <c r="AD24" s="3">
        <v>29</v>
      </c>
      <c r="AE24" s="3">
        <v>12.361671184587284</v>
      </c>
      <c r="AF24" s="4">
        <v>0.42626452360645806</v>
      </c>
      <c r="AG24" s="3">
        <v>110922.19210275145</v>
      </c>
      <c r="AH24" s="17">
        <v>5</v>
      </c>
      <c r="AI24" s="17"/>
      <c r="AJ24" s="17"/>
      <c r="AK24" s="3"/>
      <c r="AL24" s="7">
        <v>3.118279569892473</v>
      </c>
      <c r="AN24" s="17">
        <v>30</v>
      </c>
      <c r="AO24" s="17">
        <v>30</v>
      </c>
      <c r="AP24" s="17">
        <v>13.361671184587284</v>
      </c>
      <c r="AQ24" s="4">
        <v>0.44538903948624281</v>
      </c>
      <c r="AR24" s="3">
        <v>110922.19210275145</v>
      </c>
      <c r="AS24" s="17">
        <f t="shared" si="4"/>
        <v>5</v>
      </c>
      <c r="AT24" s="17"/>
      <c r="AU24" s="17"/>
      <c r="AV24" s="3"/>
      <c r="AW24" s="7">
        <v>3.225806451612903</v>
      </c>
      <c r="AY24" s="17">
        <f t="shared" si="5"/>
        <v>120</v>
      </c>
      <c r="AZ24" s="17">
        <f t="shared" si="6"/>
        <v>100.71057</v>
      </c>
      <c r="BA24" s="17">
        <f t="shared" si="7"/>
        <v>35.669830085204836</v>
      </c>
      <c r="BB24" s="4">
        <f t="shared" si="8"/>
        <v>0.35418159270873789</v>
      </c>
      <c r="BC24" s="3">
        <f t="shared" si="0"/>
        <v>108401.23319132529</v>
      </c>
      <c r="BD24" s="3">
        <f t="shared" si="1"/>
        <v>5</v>
      </c>
      <c r="BE24" s="3"/>
      <c r="BF24" s="3"/>
      <c r="BG24" s="7"/>
      <c r="BH24" s="7">
        <f t="shared" si="9"/>
        <v>2.707273387096774</v>
      </c>
      <c r="BJ24" s="5" t="s">
        <v>100</v>
      </c>
      <c r="BK24" s="5" t="s">
        <v>100</v>
      </c>
      <c r="BL24" s="5" t="s">
        <v>100</v>
      </c>
      <c r="BN24" s="21"/>
      <c r="BP24">
        <v>0</v>
      </c>
      <c r="BR24">
        <f>10643418/100000</f>
        <v>106.43418</v>
      </c>
      <c r="BT24" s="5" t="s">
        <v>101</v>
      </c>
      <c r="BV24" t="s">
        <v>101</v>
      </c>
      <c r="BX24" s="5" t="s">
        <v>106</v>
      </c>
      <c r="BZ24" t="s">
        <v>101</v>
      </c>
    </row>
    <row r="25" spans="1:78" x14ac:dyDescent="0.35">
      <c r="A25" s="3" t="s">
        <v>3</v>
      </c>
      <c r="B25" s="3" t="s">
        <v>70</v>
      </c>
      <c r="C25" s="3" t="s">
        <v>86</v>
      </c>
      <c r="D25" s="2" t="s">
        <v>118</v>
      </c>
      <c r="E25" s="3" t="s">
        <v>2</v>
      </c>
      <c r="F25" s="5"/>
      <c r="G25" s="14">
        <v>21</v>
      </c>
      <c r="H25" s="17">
        <v>29.515699999999999</v>
      </c>
      <c r="I25" s="3">
        <v>14.533742816992021</v>
      </c>
      <c r="J25" s="4">
        <f t="shared" si="2"/>
        <v>0.49240718725939148</v>
      </c>
      <c r="K25" s="3">
        <v>99879.714553386511</v>
      </c>
      <c r="L25" s="17">
        <v>5</v>
      </c>
      <c r="M25" s="17"/>
      <c r="N25" s="6"/>
      <c r="O25" s="3"/>
      <c r="P25" s="7">
        <v>2.4596416666666667</v>
      </c>
      <c r="Q25" s="15"/>
      <c r="R25" s="7">
        <v>22</v>
      </c>
      <c r="S25" s="7">
        <v>22</v>
      </c>
      <c r="T25" s="3">
        <v>5.5198470986912227</v>
      </c>
      <c r="U25" s="4">
        <f t="shared" si="3"/>
        <v>0.25090214084960105</v>
      </c>
      <c r="V25" s="3">
        <v>109867.68600872517</v>
      </c>
      <c r="W25" s="17">
        <v>5</v>
      </c>
      <c r="X25" s="17"/>
      <c r="Y25" s="17"/>
      <c r="Z25" s="3"/>
      <c r="AA25" s="7">
        <v>1.8333333333333333</v>
      </c>
      <c r="AC25" s="3">
        <v>22</v>
      </c>
      <c r="AD25" s="3">
        <v>22</v>
      </c>
      <c r="AE25" s="3">
        <v>5.5198470986912227</v>
      </c>
      <c r="AF25" s="4">
        <v>0.25090214084960105</v>
      </c>
      <c r="AG25" s="3">
        <v>109867.68600872517</v>
      </c>
      <c r="AH25" s="17">
        <v>5</v>
      </c>
      <c r="AI25" s="17"/>
      <c r="AJ25" s="17"/>
      <c r="AK25" s="3"/>
      <c r="AL25" s="7">
        <v>1.8333333333333333</v>
      </c>
      <c r="AN25" s="17">
        <v>21.5</v>
      </c>
      <c r="AO25" s="17">
        <v>21.5</v>
      </c>
      <c r="AP25" s="17">
        <v>5.0198470986912227</v>
      </c>
      <c r="AQ25" s="4">
        <v>0.23348126040424291</v>
      </c>
      <c r="AR25" s="3">
        <v>109867.68600872517</v>
      </c>
      <c r="AS25" s="17">
        <f t="shared" si="4"/>
        <v>5</v>
      </c>
      <c r="AT25" s="17"/>
      <c r="AU25" s="17"/>
      <c r="AV25" s="3"/>
      <c r="AW25" s="7">
        <v>1.7916666666666667</v>
      </c>
      <c r="AY25" s="17">
        <f t="shared" si="5"/>
        <v>86.5</v>
      </c>
      <c r="AZ25" s="17">
        <f t="shared" si="6"/>
        <v>95.015699999999995</v>
      </c>
      <c r="BA25" s="17">
        <f t="shared" si="7"/>
        <v>30.593284113065689</v>
      </c>
      <c r="BB25" s="4">
        <f t="shared" si="8"/>
        <v>0.32198135795521887</v>
      </c>
      <c r="BC25" s="3">
        <f t="shared" si="0"/>
        <v>107370.69314489051</v>
      </c>
      <c r="BD25" s="3">
        <f t="shared" si="1"/>
        <v>5</v>
      </c>
      <c r="BE25" s="3"/>
      <c r="BF25" s="3"/>
      <c r="BG25" s="7"/>
      <c r="BH25" s="7">
        <f t="shared" si="9"/>
        <v>1.9794937500000001</v>
      </c>
      <c r="BJ25" s="5" t="s">
        <v>100</v>
      </c>
      <c r="BK25" s="5" t="s">
        <v>100</v>
      </c>
      <c r="BL25" s="5" t="s">
        <v>100</v>
      </c>
      <c r="BN25" s="21"/>
      <c r="BP25">
        <v>0</v>
      </c>
      <c r="BR25">
        <f>1952868/100000</f>
        <v>19.528680000000001</v>
      </c>
      <c r="BT25" s="5" t="s">
        <v>101</v>
      </c>
      <c r="BV25" t="s">
        <v>100</v>
      </c>
      <c r="BX25" s="5" t="s">
        <v>115</v>
      </c>
      <c r="BZ25" t="s">
        <v>101</v>
      </c>
    </row>
    <row r="26" spans="1:78" x14ac:dyDescent="0.35">
      <c r="A26" s="3" t="s">
        <v>46</v>
      </c>
      <c r="B26" s="3" t="s">
        <v>83</v>
      </c>
      <c r="C26" s="3" t="s">
        <v>83</v>
      </c>
      <c r="D26" s="2" t="s">
        <v>118</v>
      </c>
      <c r="E26" s="3" t="s">
        <v>71</v>
      </c>
      <c r="F26" s="5"/>
      <c r="G26" s="14">
        <v>48</v>
      </c>
      <c r="H26" s="17">
        <v>48.223479999999995</v>
      </c>
      <c r="I26" s="3">
        <v>-17.374233561904248</v>
      </c>
      <c r="J26" s="4">
        <f t="shared" si="2"/>
        <v>-0.36028576871483042</v>
      </c>
      <c r="K26" s="3">
        <v>117138.77421768615</v>
      </c>
      <c r="L26" s="17">
        <v>18.666666666666668</v>
      </c>
      <c r="M26" s="17"/>
      <c r="N26" s="6"/>
      <c r="O26" s="3"/>
      <c r="P26" s="7">
        <v>0.94555843137254891</v>
      </c>
      <c r="Q26" s="15"/>
      <c r="R26" s="7">
        <v>48</v>
      </c>
      <c r="S26" s="7">
        <v>48</v>
      </c>
      <c r="T26" s="3">
        <v>-24.157484918094681</v>
      </c>
      <c r="U26" s="4">
        <f t="shared" si="3"/>
        <v>-0.50328093579363919</v>
      </c>
      <c r="V26" s="3">
        <v>128852.65163945478</v>
      </c>
      <c r="W26" s="17">
        <v>18.666666666666668</v>
      </c>
      <c r="X26" s="17"/>
      <c r="Y26" s="17"/>
      <c r="Z26" s="3"/>
      <c r="AA26" s="7">
        <v>0.94117647058823528</v>
      </c>
      <c r="AC26" s="3">
        <v>48</v>
      </c>
      <c r="AD26" s="3">
        <v>48</v>
      </c>
      <c r="AE26" s="3">
        <v>-24.157484918094681</v>
      </c>
      <c r="AF26" s="4">
        <v>-0.50328093579363919</v>
      </c>
      <c r="AG26" s="3">
        <v>128852.65163945478</v>
      </c>
      <c r="AH26" s="17">
        <v>18.666666666666668</v>
      </c>
      <c r="AI26" s="17"/>
      <c r="AJ26" s="17"/>
      <c r="AK26" s="3"/>
      <c r="AL26" s="7">
        <v>0.94117647058823528</v>
      </c>
      <c r="AN26" s="17">
        <v>48</v>
      </c>
      <c r="AO26" s="17">
        <v>48</v>
      </c>
      <c r="AP26" s="17">
        <v>-24.157484918094681</v>
      </c>
      <c r="AQ26" s="4">
        <v>-0.50328093579363919</v>
      </c>
      <c r="AR26" s="3">
        <v>128852.65163945478</v>
      </c>
      <c r="AS26" s="17">
        <f t="shared" si="4"/>
        <v>18.666666666666668</v>
      </c>
      <c r="AT26" s="17"/>
      <c r="AU26" s="17"/>
      <c r="AV26" s="3"/>
      <c r="AW26" s="7">
        <v>0.94117647058823528</v>
      </c>
      <c r="AY26" s="17">
        <f t="shared" si="5"/>
        <v>192</v>
      </c>
      <c r="AZ26" s="17">
        <f t="shared" si="6"/>
        <v>192.22348</v>
      </c>
      <c r="BA26" s="17">
        <f t="shared" si="7"/>
        <v>-89.846688316188292</v>
      </c>
      <c r="BB26" s="4">
        <f t="shared" si="8"/>
        <v>-0.46740745884003504</v>
      </c>
      <c r="BC26" s="3">
        <f t="shared" si="0"/>
        <v>125924.18228401261</v>
      </c>
      <c r="BD26" s="3">
        <f t="shared" si="1"/>
        <v>18.666666666666668</v>
      </c>
      <c r="BE26" s="3"/>
      <c r="BF26" s="3"/>
      <c r="BG26" s="7"/>
      <c r="BH26" s="7">
        <f t="shared" si="9"/>
        <v>0.94227196078431374</v>
      </c>
      <c r="BJ26" s="5" t="s">
        <v>100</v>
      </c>
      <c r="BK26" s="5" t="s">
        <v>100</v>
      </c>
      <c r="BL26" s="5" t="s">
        <v>100</v>
      </c>
      <c r="BN26" s="21"/>
      <c r="BP26">
        <f>2422348/100000</f>
        <v>24.223479999999999</v>
      </c>
      <c r="BR26">
        <f>5954090/100000</f>
        <v>59.540900000000001</v>
      </c>
      <c r="BT26" s="5" t="s">
        <v>101</v>
      </c>
      <c r="BV26" t="s">
        <v>101</v>
      </c>
      <c r="BX26" s="5"/>
      <c r="BZ26" t="s">
        <v>101</v>
      </c>
    </row>
    <row r="27" spans="1:78" x14ac:dyDescent="0.35">
      <c r="A27" s="3" t="s">
        <v>63</v>
      </c>
      <c r="B27" s="3" t="s">
        <v>83</v>
      </c>
      <c r="C27" s="3" t="s">
        <v>93</v>
      </c>
      <c r="D27" s="2" t="s">
        <v>118</v>
      </c>
      <c r="E27" s="3" t="s">
        <v>71</v>
      </c>
      <c r="F27" s="5"/>
      <c r="G27" s="14">
        <v>18</v>
      </c>
      <c r="H27" s="17">
        <v>0</v>
      </c>
      <c r="I27" s="3">
        <v>-1.3031752279907949</v>
      </c>
      <c r="J27" s="4">
        <f t="shared" si="2"/>
        <v>0</v>
      </c>
      <c r="K27" s="3">
        <v>130317.5227990795</v>
      </c>
      <c r="L27" s="17">
        <v>0.33333333333333331</v>
      </c>
      <c r="M27" s="17"/>
      <c r="N27" s="6"/>
      <c r="O27" s="3"/>
      <c r="P27" s="7">
        <v>0</v>
      </c>
      <c r="Q27" s="15"/>
      <c r="R27" s="7">
        <v>4</v>
      </c>
      <c r="S27" s="7">
        <v>4</v>
      </c>
      <c r="T27" s="3">
        <v>2.5665072492101251</v>
      </c>
      <c r="U27" s="4">
        <f t="shared" si="3"/>
        <v>0.64162681230253127</v>
      </c>
      <c r="V27" s="3">
        <v>143349.27507898747</v>
      </c>
      <c r="W27" s="17">
        <v>0.33333333333333331</v>
      </c>
      <c r="X27" s="17"/>
      <c r="Y27" s="17"/>
      <c r="Z27" s="3"/>
      <c r="AA27" s="7">
        <v>0</v>
      </c>
      <c r="AC27" s="3">
        <v>2</v>
      </c>
      <c r="AD27" s="3">
        <v>2</v>
      </c>
      <c r="AE27" s="3">
        <v>0.5665072492101253</v>
      </c>
      <c r="AF27" s="4">
        <v>0.28325362460506265</v>
      </c>
      <c r="AG27" s="3">
        <v>143349.27507898747</v>
      </c>
      <c r="AH27" s="17">
        <v>0.33333333333333331</v>
      </c>
      <c r="AI27" s="17"/>
      <c r="AJ27" s="17"/>
      <c r="AK27" s="3"/>
      <c r="AL27" s="7">
        <v>0</v>
      </c>
      <c r="AN27" s="17">
        <v>1</v>
      </c>
      <c r="AO27" s="17">
        <v>1</v>
      </c>
      <c r="AP27" s="17">
        <v>-0.4334927507898747</v>
      </c>
      <c r="AQ27" s="4">
        <v>-0.4334927507898747</v>
      </c>
      <c r="AR27" s="3">
        <v>143349.27507898747</v>
      </c>
      <c r="AS27" s="17">
        <f t="shared" si="4"/>
        <v>0.33333333333333331</v>
      </c>
      <c r="AT27" s="17"/>
      <c r="AU27" s="17"/>
      <c r="AV27" s="3"/>
      <c r="AW27" s="7">
        <v>0</v>
      </c>
      <c r="AY27" s="17">
        <f t="shared" si="5"/>
        <v>25</v>
      </c>
      <c r="AZ27" s="17">
        <f t="shared" si="6"/>
        <v>7</v>
      </c>
      <c r="BA27" s="17">
        <f t="shared" si="7"/>
        <v>1.3963465196395803</v>
      </c>
      <c r="BB27" s="4">
        <f t="shared" si="8"/>
        <v>0.19947807423422576</v>
      </c>
      <c r="BC27" s="3">
        <f t="shared" si="0"/>
        <v>140091.33700901049</v>
      </c>
      <c r="BD27" s="3">
        <f t="shared" si="1"/>
        <v>0.33333333333333331</v>
      </c>
      <c r="BE27" s="3"/>
      <c r="BF27" s="3"/>
      <c r="BG27" s="7"/>
      <c r="BH27" s="7">
        <f t="shared" si="9"/>
        <v>0</v>
      </c>
      <c r="BJ27" s="5" t="s">
        <v>100</v>
      </c>
      <c r="BK27" s="5" t="s">
        <v>100</v>
      </c>
      <c r="BL27" s="5" t="s">
        <v>100</v>
      </c>
      <c r="BN27" s="21"/>
      <c r="BP27">
        <v>0</v>
      </c>
      <c r="BT27" s="5" t="s">
        <v>101</v>
      </c>
      <c r="BV27" t="s">
        <v>101</v>
      </c>
      <c r="BX27" s="5"/>
      <c r="BZ27" t="s">
        <v>101</v>
      </c>
    </row>
    <row r="28" spans="1:78" x14ac:dyDescent="0.35">
      <c r="A28" s="3" t="s">
        <v>47</v>
      </c>
      <c r="B28" s="3" t="s">
        <v>70</v>
      </c>
      <c r="C28" s="3" t="s">
        <v>92</v>
      </c>
      <c r="D28" s="2" t="s">
        <v>118</v>
      </c>
      <c r="E28" s="3" t="s">
        <v>95</v>
      </c>
      <c r="F28" s="5"/>
      <c r="G28" s="14">
        <v>33</v>
      </c>
      <c r="H28" s="17">
        <v>33.29</v>
      </c>
      <c r="I28" s="3">
        <v>-2.2802725438410221E-2</v>
      </c>
      <c r="J28" s="4">
        <f t="shared" si="2"/>
        <v>-6.8497222704746834E-4</v>
      </c>
      <c r="K28" s="3">
        <v>83282.006813596032</v>
      </c>
      <c r="L28" s="17">
        <v>13.333333333333334</v>
      </c>
      <c r="M28" s="17"/>
      <c r="N28" s="6"/>
      <c r="O28" s="3"/>
      <c r="P28" s="7">
        <v>0.98200589970501451</v>
      </c>
      <c r="Q28" s="15"/>
      <c r="R28" s="7">
        <v>50</v>
      </c>
      <c r="S28" s="7">
        <v>50</v>
      </c>
      <c r="T28" s="3">
        <v>13.355917002017748</v>
      </c>
      <c r="U28" s="4">
        <f t="shared" si="3"/>
        <v>0.26711834004035495</v>
      </c>
      <c r="V28" s="3">
        <v>91610.207494955641</v>
      </c>
      <c r="W28" s="17">
        <v>13.333333333333334</v>
      </c>
      <c r="X28" s="17"/>
      <c r="Y28" s="17"/>
      <c r="Z28" s="3"/>
      <c r="AA28" s="7">
        <v>1.4749262536873153</v>
      </c>
      <c r="AC28" s="3">
        <v>58</v>
      </c>
      <c r="AD28" s="3">
        <v>58</v>
      </c>
      <c r="AE28" s="3">
        <v>21.355917002017748</v>
      </c>
      <c r="AF28" s="4">
        <v>0.36820546555203015</v>
      </c>
      <c r="AG28" s="3">
        <v>91610.207494955641</v>
      </c>
      <c r="AH28" s="17">
        <v>13.333333333333334</v>
      </c>
      <c r="AI28" s="17"/>
      <c r="AJ28" s="17"/>
      <c r="AK28" s="3"/>
      <c r="AL28" s="7">
        <v>1.7109144542772858</v>
      </c>
      <c r="AN28" s="17">
        <v>38</v>
      </c>
      <c r="AO28" s="17">
        <v>38</v>
      </c>
      <c r="AP28" s="17">
        <v>1.3559170020177476</v>
      </c>
      <c r="AQ28" s="4">
        <v>3.5682026368888092E-2</v>
      </c>
      <c r="AR28" s="3">
        <v>91610.207494955641</v>
      </c>
      <c r="AS28" s="17">
        <f t="shared" si="4"/>
        <v>13.333333333333334</v>
      </c>
      <c r="AT28" s="17"/>
      <c r="AU28" s="17"/>
      <c r="AV28" s="3"/>
      <c r="AW28" s="7">
        <v>1.1209439528023597</v>
      </c>
      <c r="AY28" s="17">
        <f t="shared" si="5"/>
        <v>179</v>
      </c>
      <c r="AZ28" s="17">
        <f t="shared" si="6"/>
        <v>179.29</v>
      </c>
      <c r="BA28" s="17">
        <f t="shared" si="7"/>
        <v>36.044948280614832</v>
      </c>
      <c r="BB28" s="4">
        <f t="shared" si="8"/>
        <v>0.20104271448834199</v>
      </c>
      <c r="BC28" s="3">
        <f t="shared" si="0"/>
        <v>89528.157324615735</v>
      </c>
      <c r="BD28" s="3">
        <f t="shared" si="1"/>
        <v>13.333333333333334</v>
      </c>
      <c r="BE28" s="3"/>
      <c r="BF28" s="3"/>
      <c r="BG28" s="7"/>
      <c r="BH28" s="7">
        <f t="shared" si="9"/>
        <v>1.3221976401179938</v>
      </c>
      <c r="BJ28" s="5" t="s">
        <v>100</v>
      </c>
      <c r="BK28" s="5" t="s">
        <v>100</v>
      </c>
      <c r="BL28" s="5" t="s">
        <v>100</v>
      </c>
      <c r="BN28" s="21"/>
      <c r="BP28">
        <v>0</v>
      </c>
      <c r="BT28" s="5" t="s">
        <v>101</v>
      </c>
      <c r="BV28" t="s">
        <v>100</v>
      </c>
      <c r="BX28" s="5" t="s">
        <v>106</v>
      </c>
      <c r="BZ28" t="s">
        <v>101</v>
      </c>
    </row>
    <row r="29" spans="1:78" x14ac:dyDescent="0.35">
      <c r="A29" s="3" t="s">
        <v>5</v>
      </c>
      <c r="B29" s="3" t="s">
        <v>70</v>
      </c>
      <c r="C29" s="3" t="s">
        <v>86</v>
      </c>
      <c r="D29" s="2" t="s">
        <v>118</v>
      </c>
      <c r="E29" s="3" t="s">
        <v>2</v>
      </c>
      <c r="F29" s="5"/>
      <c r="G29" s="14">
        <v>12</v>
      </c>
      <c r="H29" s="17">
        <v>18.850709999999999</v>
      </c>
      <c r="I29" s="3">
        <v>-0.41791048643062467</v>
      </c>
      <c r="J29" s="4">
        <f t="shared" si="2"/>
        <v>-2.2169482551618727E-2</v>
      </c>
      <c r="K29" s="3">
        <v>91755.335649669636</v>
      </c>
      <c r="L29" s="17">
        <v>7</v>
      </c>
      <c r="M29" s="17"/>
      <c r="N29" s="6"/>
      <c r="O29" s="3"/>
      <c r="P29" s="7">
        <v>1.0472616666666665</v>
      </c>
      <c r="Q29" s="15"/>
      <c r="R29" s="7">
        <v>16</v>
      </c>
      <c r="S29" s="7">
        <v>16</v>
      </c>
      <c r="T29" s="3">
        <v>-5.1954825350736868</v>
      </c>
      <c r="U29" s="4">
        <f t="shared" si="3"/>
        <v>-0.32471765844210543</v>
      </c>
      <c r="V29" s="3">
        <v>100930.86921463661</v>
      </c>
      <c r="W29" s="17">
        <v>7</v>
      </c>
      <c r="X29" s="17"/>
      <c r="Y29" s="17"/>
      <c r="Z29" s="3"/>
      <c r="AA29" s="7">
        <v>0.88888888888888884</v>
      </c>
      <c r="AC29" s="3">
        <v>16</v>
      </c>
      <c r="AD29" s="3">
        <v>16</v>
      </c>
      <c r="AE29" s="3">
        <v>-5.1954825350736868</v>
      </c>
      <c r="AF29" s="4">
        <v>-0.32471765844210543</v>
      </c>
      <c r="AG29" s="3">
        <v>100930.86921463661</v>
      </c>
      <c r="AH29" s="17">
        <v>7</v>
      </c>
      <c r="AI29" s="17"/>
      <c r="AJ29" s="17"/>
      <c r="AK29" s="3"/>
      <c r="AL29" s="7">
        <v>0.88888888888888884</v>
      </c>
      <c r="AN29" s="17">
        <v>16</v>
      </c>
      <c r="AO29" s="17">
        <v>16</v>
      </c>
      <c r="AP29" s="17">
        <v>-5.1954825350736868</v>
      </c>
      <c r="AQ29" s="4">
        <v>-0.32471765844210543</v>
      </c>
      <c r="AR29" s="3">
        <v>100930.86921463661</v>
      </c>
      <c r="AS29" s="17">
        <f t="shared" si="4"/>
        <v>7</v>
      </c>
      <c r="AT29" s="17"/>
      <c r="AU29" s="17"/>
      <c r="AV29" s="3"/>
      <c r="AW29" s="7">
        <v>0.88888888888888884</v>
      </c>
      <c r="AY29" s="17">
        <f t="shared" si="5"/>
        <v>60</v>
      </c>
      <c r="AZ29" s="17">
        <f t="shared" si="6"/>
        <v>66.850709999999992</v>
      </c>
      <c r="BA29" s="17">
        <f t="shared" si="7"/>
        <v>-16.004358091651685</v>
      </c>
      <c r="BB29" s="4">
        <f t="shared" si="8"/>
        <v>-0.23940445945378422</v>
      </c>
      <c r="BC29" s="3">
        <f t="shared" si="0"/>
        <v>98636.985823394876</v>
      </c>
      <c r="BD29" s="3">
        <f t="shared" si="1"/>
        <v>7</v>
      </c>
      <c r="BE29" s="3"/>
      <c r="BF29" s="3"/>
      <c r="BG29" s="7"/>
      <c r="BH29" s="7">
        <f t="shared" si="9"/>
        <v>0.92848208333333326</v>
      </c>
      <c r="BJ29" s="5" t="s">
        <v>100</v>
      </c>
      <c r="BK29" s="5" t="s">
        <v>100</v>
      </c>
      <c r="BL29" s="5" t="s">
        <v>100</v>
      </c>
      <c r="BN29" s="21"/>
      <c r="BP29">
        <f>549471/100000</f>
        <v>5.4947100000000004</v>
      </c>
      <c r="BR29">
        <f>1992034/100000</f>
        <v>19.920339999999999</v>
      </c>
      <c r="BT29" s="5" t="s">
        <v>101</v>
      </c>
      <c r="BV29" t="s">
        <v>101</v>
      </c>
      <c r="BX29" s="5" t="s">
        <v>115</v>
      </c>
      <c r="BZ29" t="s">
        <v>101</v>
      </c>
    </row>
    <row r="30" spans="1:78" x14ac:dyDescent="0.35">
      <c r="A30" s="3" t="s">
        <v>21</v>
      </c>
      <c r="B30" s="3" t="s">
        <v>70</v>
      </c>
      <c r="C30" s="3" t="s">
        <v>93</v>
      </c>
      <c r="D30" s="2" t="s">
        <v>118</v>
      </c>
      <c r="E30" s="3" t="s">
        <v>2</v>
      </c>
      <c r="F30" s="5"/>
      <c r="G30" s="14">
        <v>3</v>
      </c>
      <c r="H30" s="17">
        <v>1.8</v>
      </c>
      <c r="I30" s="3">
        <v>1.8</v>
      </c>
      <c r="J30" s="4">
        <f t="shared" si="2"/>
        <v>1</v>
      </c>
      <c r="K30" s="3">
        <v>110000</v>
      </c>
      <c r="L30" s="17">
        <v>0</v>
      </c>
      <c r="M30" s="17"/>
      <c r="N30" s="6"/>
      <c r="O30" s="3"/>
      <c r="P30" s="7">
        <v>0</v>
      </c>
      <c r="Q30" s="15"/>
      <c r="R30" s="7">
        <v>3</v>
      </c>
      <c r="S30" s="7">
        <v>3</v>
      </c>
      <c r="T30" s="3">
        <v>3</v>
      </c>
      <c r="U30" s="4">
        <f t="shared" si="3"/>
        <v>1</v>
      </c>
      <c r="V30" s="3">
        <v>121000.00000000001</v>
      </c>
      <c r="W30" s="17">
        <v>0</v>
      </c>
      <c r="X30" s="17"/>
      <c r="Y30" s="17"/>
      <c r="Z30" s="3"/>
      <c r="AA30" s="7">
        <v>0</v>
      </c>
      <c r="AC30" s="3">
        <v>2</v>
      </c>
      <c r="AD30" s="3">
        <v>2</v>
      </c>
      <c r="AE30" s="3">
        <v>2</v>
      </c>
      <c r="AF30" s="4">
        <v>1</v>
      </c>
      <c r="AG30" s="3">
        <v>133100.00000000003</v>
      </c>
      <c r="AH30" s="17">
        <v>0</v>
      </c>
      <c r="AI30" s="17"/>
      <c r="AJ30" s="17"/>
      <c r="AK30" s="3"/>
      <c r="AL30" s="7">
        <v>0</v>
      </c>
      <c r="AN30" s="17">
        <v>2</v>
      </c>
      <c r="AO30" s="17">
        <v>2</v>
      </c>
      <c r="AP30" s="17">
        <v>2</v>
      </c>
      <c r="AQ30" s="4">
        <v>1</v>
      </c>
      <c r="AR30" s="3">
        <v>146410.00000000006</v>
      </c>
      <c r="AS30" s="17">
        <f t="shared" si="4"/>
        <v>0</v>
      </c>
      <c r="AT30" s="17"/>
      <c r="AU30" s="17"/>
      <c r="AV30" s="3"/>
      <c r="AW30" s="7">
        <v>0</v>
      </c>
      <c r="AY30" s="17">
        <f t="shared" si="5"/>
        <v>10</v>
      </c>
      <c r="AZ30" s="17">
        <f t="shared" si="6"/>
        <v>8.8000000000000007</v>
      </c>
      <c r="BA30" s="17">
        <f t="shared" si="7"/>
        <v>8.8000000000000007</v>
      </c>
      <c r="BB30" s="4">
        <f t="shared" si="8"/>
        <v>1</v>
      </c>
      <c r="BC30" s="3">
        <f t="shared" si="0"/>
        <v>127627.50000000001</v>
      </c>
      <c r="BD30" s="3">
        <f t="shared" si="1"/>
        <v>0</v>
      </c>
      <c r="BE30" s="3"/>
      <c r="BF30" s="3"/>
      <c r="BG30" s="7"/>
      <c r="BH30" s="7">
        <f t="shared" si="9"/>
        <v>0</v>
      </c>
      <c r="BJ30" s="5" t="s">
        <v>100</v>
      </c>
      <c r="BK30" s="5" t="s">
        <v>100</v>
      </c>
      <c r="BL30" s="5" t="s">
        <v>100</v>
      </c>
      <c r="BN30" s="21"/>
      <c r="BP30">
        <v>0</v>
      </c>
      <c r="BT30" s="5" t="s">
        <v>101</v>
      </c>
      <c r="BV30" t="s">
        <v>101</v>
      </c>
      <c r="BX30" s="5"/>
      <c r="BZ30" t="s">
        <v>101</v>
      </c>
    </row>
    <row r="31" spans="1:78" x14ac:dyDescent="0.35">
      <c r="A31" s="3" t="s">
        <v>48</v>
      </c>
      <c r="B31" s="3" t="s">
        <v>70</v>
      </c>
      <c r="C31" s="3" t="s">
        <v>92</v>
      </c>
      <c r="D31" s="2" t="s">
        <v>118</v>
      </c>
      <c r="E31" s="3" t="s">
        <v>95</v>
      </c>
      <c r="F31" s="5"/>
      <c r="G31" s="14">
        <v>100</v>
      </c>
      <c r="H31" s="17">
        <v>69</v>
      </c>
      <c r="I31" s="3">
        <v>-7.8140606242287447</v>
      </c>
      <c r="J31" s="4">
        <f t="shared" si="2"/>
        <v>-0.11324725542360499</v>
      </c>
      <c r="K31" s="3">
        <v>92547.060993046674</v>
      </c>
      <c r="L31" s="17">
        <v>27.666666666666668</v>
      </c>
      <c r="M31" s="17"/>
      <c r="N31" s="6"/>
      <c r="O31" s="3"/>
      <c r="P31" s="7">
        <v>0.97046413502109707</v>
      </c>
      <c r="Q31" s="15"/>
      <c r="R31" s="7">
        <v>127</v>
      </c>
      <c r="S31" s="7">
        <v>127</v>
      </c>
      <c r="T31" s="3">
        <v>42.504533313348389</v>
      </c>
      <c r="U31" s="4">
        <f t="shared" si="3"/>
        <v>0.33468136467203458</v>
      </c>
      <c r="V31" s="3">
        <v>101801.76709235135</v>
      </c>
      <c r="W31" s="17">
        <v>27.666666666666668</v>
      </c>
      <c r="X31" s="17"/>
      <c r="Y31" s="17"/>
      <c r="Z31" s="3"/>
      <c r="AA31" s="7">
        <v>1.7862165963431789</v>
      </c>
      <c r="AC31" s="3">
        <v>133</v>
      </c>
      <c r="AD31" s="3">
        <v>133</v>
      </c>
      <c r="AE31" s="3">
        <v>48.504533313348389</v>
      </c>
      <c r="AF31" s="4">
        <v>0.36469573919810822</v>
      </c>
      <c r="AG31" s="3">
        <v>101801.76709235135</v>
      </c>
      <c r="AH31" s="17">
        <v>27.666666666666668</v>
      </c>
      <c r="AI31" s="17"/>
      <c r="AJ31" s="17"/>
      <c r="AK31" s="3"/>
      <c r="AL31" s="7">
        <v>1.8706047819971872</v>
      </c>
      <c r="AN31" s="17">
        <v>120</v>
      </c>
      <c r="AO31" s="17">
        <v>120</v>
      </c>
      <c r="AP31" s="17">
        <v>35.504533313348389</v>
      </c>
      <c r="AQ31" s="4">
        <v>0.29587111094456992</v>
      </c>
      <c r="AR31" s="3">
        <v>101801.76709235135</v>
      </c>
      <c r="AS31" s="17">
        <f t="shared" si="4"/>
        <v>27.666666666666668</v>
      </c>
      <c r="AT31" s="17"/>
      <c r="AU31" s="17"/>
      <c r="AV31" s="3"/>
      <c r="AW31" s="7">
        <v>1.6877637130801688</v>
      </c>
      <c r="AY31" s="17">
        <f t="shared" si="5"/>
        <v>480</v>
      </c>
      <c r="AZ31" s="17">
        <f t="shared" si="6"/>
        <v>449</v>
      </c>
      <c r="BA31" s="17">
        <f t="shared" si="7"/>
        <v>118.69953931581642</v>
      </c>
      <c r="BB31" s="4">
        <f t="shared" si="8"/>
        <v>0.26436423010204102</v>
      </c>
      <c r="BC31" s="3">
        <f t="shared" si="0"/>
        <v>99488.090567525171</v>
      </c>
      <c r="BD31" s="3">
        <f t="shared" si="1"/>
        <v>27.666666666666668</v>
      </c>
      <c r="BE31" s="3"/>
      <c r="BF31" s="3"/>
      <c r="BG31" s="7"/>
      <c r="BH31" s="7">
        <f t="shared" si="9"/>
        <v>1.578762306610408</v>
      </c>
      <c r="BJ31" s="5" t="s">
        <v>100</v>
      </c>
      <c r="BK31" s="5" t="s">
        <v>100</v>
      </c>
      <c r="BL31" s="5" t="s">
        <v>100</v>
      </c>
      <c r="BN31" s="21"/>
      <c r="BP31">
        <f>2650000/100000</f>
        <v>26.5</v>
      </c>
      <c r="BT31" s="5" t="s">
        <v>101</v>
      </c>
      <c r="BV31" t="s">
        <v>100</v>
      </c>
      <c r="BX31" s="5" t="s">
        <v>107</v>
      </c>
      <c r="BZ31" t="s">
        <v>100</v>
      </c>
    </row>
    <row r="32" spans="1:78" x14ac:dyDescent="0.35">
      <c r="A32" s="3" t="s">
        <v>14</v>
      </c>
      <c r="B32" s="3" t="s">
        <v>70</v>
      </c>
      <c r="C32" s="3" t="s">
        <v>86</v>
      </c>
      <c r="D32" s="2" t="s">
        <v>118</v>
      </c>
      <c r="E32" s="3" t="s">
        <v>2</v>
      </c>
      <c r="F32" s="5"/>
      <c r="G32" s="14">
        <v>62.730000000000004</v>
      </c>
      <c r="H32" s="17">
        <v>82.3</v>
      </c>
      <c r="I32" s="3">
        <v>44.481880147597906</v>
      </c>
      <c r="J32" s="4">
        <f t="shared" si="2"/>
        <v>0.54048457044468901</v>
      </c>
      <c r="K32" s="3">
        <v>87949.115935818816</v>
      </c>
      <c r="L32" s="17">
        <v>14.333333333333334</v>
      </c>
      <c r="M32" s="17"/>
      <c r="N32" s="6"/>
      <c r="O32" s="3"/>
      <c r="P32" s="7">
        <v>2.1102564102564103</v>
      </c>
      <c r="Q32" s="15"/>
      <c r="R32" s="7">
        <v>63.39</v>
      </c>
      <c r="S32" s="7">
        <v>63.39</v>
      </c>
      <c r="T32" s="3">
        <v>21.790068162357699</v>
      </c>
      <c r="U32" s="4">
        <f t="shared" si="3"/>
        <v>0.34374614548600252</v>
      </c>
      <c r="V32" s="3">
        <v>96744.027529400701</v>
      </c>
      <c r="W32" s="17">
        <v>14.333333333333334</v>
      </c>
      <c r="X32" s="17"/>
      <c r="Y32" s="17"/>
      <c r="Z32" s="3"/>
      <c r="AA32" s="7">
        <v>1.6253846153846154</v>
      </c>
      <c r="AC32" s="3">
        <v>59.099999999999994</v>
      </c>
      <c r="AD32" s="3">
        <v>59.099999999999994</v>
      </c>
      <c r="AE32" s="3">
        <v>17.500068162357692</v>
      </c>
      <c r="AF32" s="4">
        <v>0.29610944437153458</v>
      </c>
      <c r="AG32" s="3">
        <v>96744.027529400701</v>
      </c>
      <c r="AH32" s="17">
        <v>14.333333333333334</v>
      </c>
      <c r="AI32" s="17"/>
      <c r="AJ32" s="17"/>
      <c r="AK32" s="3"/>
      <c r="AL32" s="7">
        <v>1.5153846153846153</v>
      </c>
      <c r="AN32" s="17">
        <v>60.75</v>
      </c>
      <c r="AO32" s="17">
        <v>60.75</v>
      </c>
      <c r="AP32" s="17">
        <v>19.150068162357698</v>
      </c>
      <c r="AQ32" s="4">
        <v>0.31522745946267816</v>
      </c>
      <c r="AR32" s="3">
        <v>96744.027529400701</v>
      </c>
      <c r="AS32" s="17">
        <f t="shared" si="4"/>
        <v>14.333333333333334</v>
      </c>
      <c r="AT32" s="17"/>
      <c r="AU32" s="17"/>
      <c r="AV32" s="3"/>
      <c r="AW32" s="7">
        <v>1.5576923076923077</v>
      </c>
      <c r="AY32" s="17">
        <f t="shared" si="5"/>
        <v>245.97000000000003</v>
      </c>
      <c r="AZ32" s="17">
        <f t="shared" si="6"/>
        <v>265.54000000000002</v>
      </c>
      <c r="BA32" s="17">
        <f t="shared" si="7"/>
        <v>102.92208463467099</v>
      </c>
      <c r="BB32" s="4">
        <f t="shared" si="8"/>
        <v>0.38759540797872633</v>
      </c>
      <c r="BC32" s="3">
        <f t="shared" si="0"/>
        <v>94545.29963100524</v>
      </c>
      <c r="BD32" s="3">
        <f t="shared" si="1"/>
        <v>14.333333333333334</v>
      </c>
      <c r="BE32" s="3"/>
      <c r="BF32" s="3"/>
      <c r="BG32" s="7"/>
      <c r="BH32" s="7">
        <f t="shared" si="9"/>
        <v>1.7021794871794871</v>
      </c>
      <c r="BJ32" s="5" t="s">
        <v>100</v>
      </c>
      <c r="BK32" s="5" t="s">
        <v>100</v>
      </c>
      <c r="BL32" s="5" t="s">
        <v>100</v>
      </c>
      <c r="BN32" s="21">
        <f>1675000/100000</f>
        <v>16.75</v>
      </c>
      <c r="BP32">
        <f>3080000/100000</f>
        <v>30.8</v>
      </c>
      <c r="BT32" s="5" t="s">
        <v>101</v>
      </c>
      <c r="BV32" t="s">
        <v>101</v>
      </c>
      <c r="BX32" s="5" t="s">
        <v>114</v>
      </c>
      <c r="BZ32" t="s">
        <v>101</v>
      </c>
    </row>
    <row r="33" spans="1:78" x14ac:dyDescent="0.35">
      <c r="A33" s="3" t="s">
        <v>15</v>
      </c>
      <c r="B33" s="3" t="s">
        <v>70</v>
      </c>
      <c r="C33" s="3" t="s">
        <v>86</v>
      </c>
      <c r="D33" s="2" t="s">
        <v>118</v>
      </c>
      <c r="E33" s="3" t="s">
        <v>2</v>
      </c>
      <c r="F33" s="5"/>
      <c r="G33" s="14">
        <v>3.5</v>
      </c>
      <c r="H33" s="17">
        <v>0</v>
      </c>
      <c r="I33" s="3">
        <v>-3.6672226337361038</v>
      </c>
      <c r="J33" s="4">
        <f t="shared" si="2"/>
        <v>0</v>
      </c>
      <c r="K33" s="3">
        <v>122240.75445787013</v>
      </c>
      <c r="L33" s="17">
        <v>1</v>
      </c>
      <c r="M33" s="17"/>
      <c r="N33" s="6"/>
      <c r="O33" s="3"/>
      <c r="P33" s="7">
        <v>0</v>
      </c>
      <c r="Q33" s="15"/>
      <c r="R33" s="7">
        <v>3.5</v>
      </c>
      <c r="S33" s="7">
        <v>3.5</v>
      </c>
      <c r="T33" s="3">
        <v>-0.53394489710971449</v>
      </c>
      <c r="U33" s="4">
        <f t="shared" si="3"/>
        <v>-0.15255568488848986</v>
      </c>
      <c r="V33" s="3">
        <v>134464.82990365717</v>
      </c>
      <c r="W33" s="17">
        <v>1</v>
      </c>
      <c r="X33" s="17"/>
      <c r="Y33" s="17"/>
      <c r="Z33" s="3"/>
      <c r="AA33" s="7">
        <v>1.1666666666666667</v>
      </c>
      <c r="AC33" s="3">
        <v>3.5</v>
      </c>
      <c r="AD33" s="3">
        <v>3.5</v>
      </c>
      <c r="AE33" s="3">
        <v>-0.53394489710971449</v>
      </c>
      <c r="AF33" s="4">
        <v>-0.15255568488848986</v>
      </c>
      <c r="AG33" s="3">
        <v>134464.82990365717</v>
      </c>
      <c r="AH33" s="17">
        <v>1</v>
      </c>
      <c r="AI33" s="17"/>
      <c r="AJ33" s="17"/>
      <c r="AK33" s="3"/>
      <c r="AL33" s="7">
        <v>1.1666666666666667</v>
      </c>
      <c r="AN33" s="17">
        <v>3</v>
      </c>
      <c r="AO33" s="17">
        <v>3</v>
      </c>
      <c r="AP33" s="17">
        <v>-1.0339448971097145</v>
      </c>
      <c r="AQ33" s="4">
        <v>-0.34464829903657151</v>
      </c>
      <c r="AR33" s="3">
        <v>134464.82990365717</v>
      </c>
      <c r="AS33" s="17">
        <f t="shared" si="4"/>
        <v>1</v>
      </c>
      <c r="AT33" s="17"/>
      <c r="AU33" s="17"/>
      <c r="AV33" s="3"/>
      <c r="AW33" s="7">
        <v>1</v>
      </c>
      <c r="AY33" s="17">
        <f t="shared" si="5"/>
        <v>13.5</v>
      </c>
      <c r="AZ33" s="17">
        <f t="shared" si="6"/>
        <v>10</v>
      </c>
      <c r="BA33" s="17">
        <f t="shared" si="7"/>
        <v>-5.7690573250652477</v>
      </c>
      <c r="BB33" s="4">
        <f t="shared" si="8"/>
        <v>-0.57690573250652477</v>
      </c>
      <c r="BC33" s="3">
        <f t="shared" si="0"/>
        <v>131408.81104221041</v>
      </c>
      <c r="BD33" s="3">
        <f t="shared" si="1"/>
        <v>1</v>
      </c>
      <c r="BE33" s="3"/>
      <c r="BF33" s="3"/>
      <c r="BG33" s="7"/>
      <c r="BH33" s="7">
        <f t="shared" si="9"/>
        <v>0.83333333333333337</v>
      </c>
      <c r="BJ33" s="5" t="s">
        <v>100</v>
      </c>
      <c r="BK33" s="5" t="s">
        <v>100</v>
      </c>
      <c r="BL33" s="5" t="s">
        <v>100</v>
      </c>
      <c r="BN33" s="21"/>
      <c r="BP33">
        <v>0</v>
      </c>
      <c r="BR33">
        <f>417121/100000</f>
        <v>4.1712100000000003</v>
      </c>
      <c r="BT33" s="5" t="s">
        <v>101</v>
      </c>
      <c r="BV33" t="s">
        <v>101</v>
      </c>
      <c r="BX33" s="5"/>
      <c r="BZ33" t="s">
        <v>101</v>
      </c>
    </row>
    <row r="34" spans="1:78" x14ac:dyDescent="0.35">
      <c r="A34" s="3" t="s">
        <v>16</v>
      </c>
      <c r="B34" s="3" t="s">
        <v>70</v>
      </c>
      <c r="C34" s="3" t="s">
        <v>86</v>
      </c>
      <c r="D34" s="2" t="s">
        <v>118</v>
      </c>
      <c r="E34" s="3" t="s">
        <v>2</v>
      </c>
      <c r="F34" s="5"/>
      <c r="G34" s="14">
        <v>0</v>
      </c>
      <c r="H34" s="17">
        <v>0</v>
      </c>
      <c r="I34" s="3">
        <v>0</v>
      </c>
      <c r="J34" s="4">
        <f t="shared" si="2"/>
        <v>0</v>
      </c>
      <c r="K34" s="3">
        <v>0</v>
      </c>
      <c r="L34" s="17">
        <v>0</v>
      </c>
      <c r="M34" s="17"/>
      <c r="N34" s="6"/>
      <c r="O34" s="3"/>
      <c r="P34" s="7">
        <v>0</v>
      </c>
      <c r="Q34" s="15"/>
      <c r="R34" s="7">
        <v>0</v>
      </c>
      <c r="S34" s="7">
        <v>0</v>
      </c>
      <c r="T34" s="3">
        <v>0</v>
      </c>
      <c r="U34" s="4">
        <f t="shared" si="3"/>
        <v>0</v>
      </c>
      <c r="V34" s="3">
        <v>0</v>
      </c>
      <c r="W34" s="17">
        <v>0</v>
      </c>
      <c r="X34" s="17"/>
      <c r="Y34" s="17"/>
      <c r="Z34" s="3"/>
      <c r="AA34" s="7">
        <v>0</v>
      </c>
      <c r="AC34" s="3">
        <v>0</v>
      </c>
      <c r="AD34" s="3">
        <v>0</v>
      </c>
      <c r="AE34" s="3">
        <v>0</v>
      </c>
      <c r="AF34" s="4">
        <v>0</v>
      </c>
      <c r="AG34" s="3">
        <v>0</v>
      </c>
      <c r="AH34" s="17">
        <v>0</v>
      </c>
      <c r="AI34" s="17"/>
      <c r="AJ34" s="17"/>
      <c r="AK34" s="3"/>
      <c r="AL34" s="7">
        <v>0</v>
      </c>
      <c r="AN34" s="17">
        <v>0</v>
      </c>
      <c r="AO34" s="17">
        <v>0</v>
      </c>
      <c r="AP34" s="17">
        <v>0</v>
      </c>
      <c r="AQ34" s="4">
        <v>0</v>
      </c>
      <c r="AR34" s="3">
        <v>0</v>
      </c>
      <c r="AS34" s="17">
        <f t="shared" si="4"/>
        <v>0</v>
      </c>
      <c r="AT34" s="17"/>
      <c r="AU34" s="17"/>
      <c r="AV34" s="3"/>
      <c r="AW34" s="7">
        <v>0</v>
      </c>
      <c r="AY34" s="17">
        <f t="shared" si="5"/>
        <v>0</v>
      </c>
      <c r="AZ34" s="17">
        <f t="shared" si="6"/>
        <v>0</v>
      </c>
      <c r="BA34" s="17">
        <f t="shared" si="7"/>
        <v>0</v>
      </c>
      <c r="BB34" s="4">
        <f t="shared" si="8"/>
        <v>0</v>
      </c>
      <c r="BC34" s="3">
        <f t="shared" si="0"/>
        <v>0</v>
      </c>
      <c r="BD34" s="3">
        <f t="shared" si="1"/>
        <v>0</v>
      </c>
      <c r="BE34" s="3"/>
      <c r="BF34" s="3"/>
      <c r="BG34" s="7"/>
      <c r="BH34" s="7">
        <f t="shared" si="9"/>
        <v>0</v>
      </c>
      <c r="BJ34" s="5" t="s">
        <v>100</v>
      </c>
      <c r="BK34" s="5" t="s">
        <v>100</v>
      </c>
      <c r="BL34" s="5" t="s">
        <v>100</v>
      </c>
      <c r="BN34" s="21"/>
      <c r="BP34">
        <v>0</v>
      </c>
      <c r="BT34" s="5" t="s">
        <v>101</v>
      </c>
      <c r="BV34" t="s">
        <v>101</v>
      </c>
      <c r="BX34" s="5"/>
      <c r="BZ34" t="s">
        <v>101</v>
      </c>
    </row>
    <row r="35" spans="1:78" x14ac:dyDescent="0.35">
      <c r="A35" s="3" t="s">
        <v>49</v>
      </c>
      <c r="B35" s="3" t="s">
        <v>70</v>
      </c>
      <c r="C35" s="3" t="s">
        <v>86</v>
      </c>
      <c r="D35" s="2" t="s">
        <v>118</v>
      </c>
      <c r="E35" s="3" t="s">
        <v>2</v>
      </c>
      <c r="F35" s="5"/>
      <c r="G35" s="14">
        <v>8.6</v>
      </c>
      <c r="H35" s="17">
        <v>7.67</v>
      </c>
      <c r="I35" s="3">
        <v>1.0059072126352868</v>
      </c>
      <c r="J35" s="4">
        <f t="shared" si="2"/>
        <v>0.13114826761868145</v>
      </c>
      <c r="K35" s="3">
        <v>95201.325533781623</v>
      </c>
      <c r="L35" s="17">
        <v>2.3333333333333335</v>
      </c>
      <c r="M35" s="17"/>
      <c r="N35" s="6"/>
      <c r="O35" s="3"/>
      <c r="P35" s="7">
        <v>1.2174603174603174</v>
      </c>
      <c r="Q35" s="15"/>
      <c r="R35" s="7">
        <v>9.1</v>
      </c>
      <c r="S35" s="7">
        <v>9.1</v>
      </c>
      <c r="T35" s="3">
        <v>1.7694979338988146</v>
      </c>
      <c r="U35" s="4">
        <f t="shared" si="3"/>
        <v>0.19445032240646315</v>
      </c>
      <c r="V35" s="3">
        <v>104721.45808715979</v>
      </c>
      <c r="W35" s="17">
        <v>2.3333333333333335</v>
      </c>
      <c r="X35" s="17"/>
      <c r="Y35" s="17"/>
      <c r="Z35" s="3"/>
      <c r="AA35" s="7">
        <v>1.4444444444444442</v>
      </c>
      <c r="AC35" s="3">
        <v>11</v>
      </c>
      <c r="AD35" s="3">
        <v>11</v>
      </c>
      <c r="AE35" s="3">
        <v>3.669497933898815</v>
      </c>
      <c r="AF35" s="4">
        <v>0.33359072126352862</v>
      </c>
      <c r="AG35" s="3">
        <v>104721.45808715979</v>
      </c>
      <c r="AH35" s="17">
        <v>2.3333333333333335</v>
      </c>
      <c r="AI35" s="17"/>
      <c r="AJ35" s="17"/>
      <c r="AK35" s="3"/>
      <c r="AL35" s="7">
        <v>1.7460317460317458</v>
      </c>
      <c r="AN35" s="17">
        <v>12.399999999999999</v>
      </c>
      <c r="AO35" s="17">
        <v>12.399999999999999</v>
      </c>
      <c r="AP35" s="17">
        <v>5.0694979338988135</v>
      </c>
      <c r="AQ35" s="4">
        <v>0.40883047854022697</v>
      </c>
      <c r="AR35" s="3">
        <v>104721.45808715979</v>
      </c>
      <c r="AS35" s="17">
        <f t="shared" si="4"/>
        <v>2.3333333333333335</v>
      </c>
      <c r="AT35" s="17"/>
      <c r="AU35" s="17"/>
      <c r="AV35" s="3"/>
      <c r="AW35" s="7">
        <v>1.9682539682539677</v>
      </c>
      <c r="AY35" s="17">
        <f t="shared" si="5"/>
        <v>41.1</v>
      </c>
      <c r="AZ35" s="17">
        <f t="shared" si="6"/>
        <v>40.17</v>
      </c>
      <c r="BA35" s="17">
        <f t="shared" si="7"/>
        <v>11.514401014331728</v>
      </c>
      <c r="BB35" s="4">
        <f t="shared" si="8"/>
        <v>0.28664179771799175</v>
      </c>
      <c r="BC35" s="3">
        <f t="shared" ref="BC35:BC59" si="10">AVERAGE(K35,V35,AG35,AR35)</f>
        <v>102341.42494881524</v>
      </c>
      <c r="BD35" s="3">
        <f t="shared" ref="BD35:BD59" si="11">AVERAGE(L35,W35,AH35,AS35)</f>
        <v>2.3333333333333335</v>
      </c>
      <c r="BE35" s="3"/>
      <c r="BF35" s="3"/>
      <c r="BG35" s="7"/>
      <c r="BH35" s="7">
        <f t="shared" si="9"/>
        <v>1.5940476190476187</v>
      </c>
      <c r="BJ35" s="5" t="s">
        <v>100</v>
      </c>
      <c r="BK35" s="5" t="s">
        <v>100</v>
      </c>
      <c r="BL35" s="5" t="s">
        <v>100</v>
      </c>
      <c r="BN35" s="21"/>
      <c r="BP35">
        <v>0</v>
      </c>
      <c r="BT35" s="5" t="s">
        <v>101</v>
      </c>
      <c r="BV35" t="s">
        <v>100</v>
      </c>
      <c r="BX35" s="5" t="s">
        <v>107</v>
      </c>
      <c r="BZ35" t="s">
        <v>101</v>
      </c>
    </row>
    <row r="36" spans="1:78" x14ac:dyDescent="0.35">
      <c r="A36" s="3" t="s">
        <v>17</v>
      </c>
      <c r="B36" s="3" t="s">
        <v>70</v>
      </c>
      <c r="C36" s="3" t="s">
        <v>86</v>
      </c>
      <c r="D36" s="2" t="s">
        <v>118</v>
      </c>
      <c r="E36" s="3" t="s">
        <v>2</v>
      </c>
      <c r="F36" s="5"/>
      <c r="G36" s="14">
        <v>23.61</v>
      </c>
      <c r="H36" s="17">
        <v>19.666775000000001</v>
      </c>
      <c r="I36" s="3">
        <v>6.4909923722805818</v>
      </c>
      <c r="J36" s="4">
        <f t="shared" si="2"/>
        <v>0.33004864154293634</v>
      </c>
      <c r="K36" s="3">
        <v>82348.641423246372</v>
      </c>
      <c r="L36" s="17">
        <v>5.333333333333333</v>
      </c>
      <c r="M36" s="17"/>
      <c r="N36" s="6"/>
      <c r="O36" s="3"/>
      <c r="P36" s="7">
        <v>1.6388979166666668</v>
      </c>
      <c r="Q36" s="15"/>
      <c r="R36" s="7">
        <v>24.713999999999999</v>
      </c>
      <c r="S36" s="7">
        <v>24.713999999999999</v>
      </c>
      <c r="T36" s="3">
        <v>10.220639109508635</v>
      </c>
      <c r="U36" s="4">
        <f t="shared" si="3"/>
        <v>0.41355665248477119</v>
      </c>
      <c r="V36" s="3">
        <v>90583.505565571017</v>
      </c>
      <c r="W36" s="17">
        <v>5.333333333333333</v>
      </c>
      <c r="X36" s="17"/>
      <c r="Y36" s="17"/>
      <c r="Z36" s="3"/>
      <c r="AA36" s="7">
        <v>2.0594999999999999</v>
      </c>
      <c r="AC36" s="3">
        <v>25.78</v>
      </c>
      <c r="AD36" s="3">
        <v>25.78</v>
      </c>
      <c r="AE36" s="3">
        <v>11.286639109508638</v>
      </c>
      <c r="AF36" s="4">
        <v>0.43780601666053676</v>
      </c>
      <c r="AG36" s="3">
        <v>90583.505565571017</v>
      </c>
      <c r="AH36" s="17">
        <v>5.333333333333333</v>
      </c>
      <c r="AI36" s="17"/>
      <c r="AJ36" s="17"/>
      <c r="AK36" s="3"/>
      <c r="AL36" s="7">
        <v>2.1483333333333334</v>
      </c>
      <c r="AN36" s="17">
        <v>26.215</v>
      </c>
      <c r="AO36" s="17">
        <v>26.215</v>
      </c>
      <c r="AP36" s="17">
        <v>11.721639109508637</v>
      </c>
      <c r="AQ36" s="4">
        <v>0.44713481249317705</v>
      </c>
      <c r="AR36" s="3">
        <v>90583.505565571017</v>
      </c>
      <c r="AS36" s="17">
        <f t="shared" si="4"/>
        <v>5.333333333333333</v>
      </c>
      <c r="AT36" s="17"/>
      <c r="AU36" s="17"/>
      <c r="AV36" s="3"/>
      <c r="AW36" s="7">
        <v>2.1845833333333333</v>
      </c>
      <c r="AY36" s="17">
        <f t="shared" si="5"/>
        <v>100.319</v>
      </c>
      <c r="AZ36" s="17">
        <f t="shared" si="6"/>
        <v>96.375775000000004</v>
      </c>
      <c r="BA36" s="17">
        <f t="shared" si="7"/>
        <v>39.71990970080649</v>
      </c>
      <c r="BB36" s="4">
        <f t="shared" si="8"/>
        <v>0.41213582667227827</v>
      </c>
      <c r="BC36" s="3">
        <f t="shared" si="10"/>
        <v>88524.789529989852</v>
      </c>
      <c r="BD36" s="3">
        <f t="shared" si="11"/>
        <v>5.333333333333333</v>
      </c>
      <c r="BE36" s="3"/>
      <c r="BF36" s="3"/>
      <c r="BG36" s="7"/>
      <c r="BH36" s="7">
        <f t="shared" si="9"/>
        <v>2.0078286458333334</v>
      </c>
      <c r="BJ36" s="5" t="s">
        <v>100</v>
      </c>
      <c r="BK36" s="5" t="s">
        <v>100</v>
      </c>
      <c r="BL36" s="5" t="s">
        <v>100</v>
      </c>
      <c r="BN36" s="21">
        <f>313160/100000</f>
        <v>3.1316000000000002</v>
      </c>
      <c r="BP36">
        <f>360677.5/100000</f>
        <v>3.6067749999999998</v>
      </c>
      <c r="BT36" s="5" t="s">
        <v>101</v>
      </c>
      <c r="BV36" t="s">
        <v>101</v>
      </c>
      <c r="BX36" s="5" t="s">
        <v>107</v>
      </c>
      <c r="BZ36" t="s">
        <v>101</v>
      </c>
    </row>
    <row r="37" spans="1:78" x14ac:dyDescent="0.35">
      <c r="A37" s="3" t="s">
        <v>18</v>
      </c>
      <c r="B37" s="3" t="s">
        <v>70</v>
      </c>
      <c r="C37" s="3" t="s">
        <v>86</v>
      </c>
      <c r="D37" s="2" t="s">
        <v>118</v>
      </c>
      <c r="E37" s="3" t="s">
        <v>2</v>
      </c>
      <c r="F37" s="5"/>
      <c r="G37" s="14">
        <v>112</v>
      </c>
      <c r="H37" s="17">
        <v>83.289999999999992</v>
      </c>
      <c r="I37" s="3">
        <v>-31.864374589761098</v>
      </c>
      <c r="J37" s="4">
        <f t="shared" si="2"/>
        <v>-0.38257143222188861</v>
      </c>
      <c r="K37" s="3">
        <v>94388.83163095171</v>
      </c>
      <c r="L37" s="17">
        <v>40.666666666666664</v>
      </c>
      <c r="M37" s="17"/>
      <c r="N37" s="6"/>
      <c r="O37" s="3"/>
      <c r="P37" s="7">
        <v>1.6331372549019607</v>
      </c>
      <c r="Q37" s="15"/>
      <c r="R37" s="7">
        <v>99</v>
      </c>
      <c r="S37" s="7">
        <v>99</v>
      </c>
      <c r="T37" s="3">
        <v>-27.669812048737199</v>
      </c>
      <c r="U37" s="4">
        <f t="shared" si="3"/>
        <v>-0.27949305099734545</v>
      </c>
      <c r="V37" s="3">
        <v>103827.71479404689</v>
      </c>
      <c r="W37" s="17">
        <v>40.666666666666664</v>
      </c>
      <c r="X37" s="17"/>
      <c r="Y37" s="17"/>
      <c r="Z37" s="3"/>
      <c r="AA37" s="7">
        <v>1.9411764705882353</v>
      </c>
      <c r="AC37" s="3">
        <v>104</v>
      </c>
      <c r="AD37" s="3">
        <v>104</v>
      </c>
      <c r="AE37" s="3">
        <v>-22.669812048737199</v>
      </c>
      <c r="AF37" s="4">
        <v>-0.21797896200708847</v>
      </c>
      <c r="AG37" s="3">
        <v>103827.71479404689</v>
      </c>
      <c r="AH37" s="17">
        <v>40.666666666666664</v>
      </c>
      <c r="AI37" s="17"/>
      <c r="AJ37" s="17"/>
      <c r="AK37" s="3"/>
      <c r="AL37" s="7">
        <v>2.0392156862745097</v>
      </c>
      <c r="AN37" s="17">
        <v>111</v>
      </c>
      <c r="AO37" s="17">
        <v>111</v>
      </c>
      <c r="AP37" s="17">
        <v>-15.669812048737199</v>
      </c>
      <c r="AQ37" s="4">
        <v>-0.14116947791655135</v>
      </c>
      <c r="AR37" s="3">
        <v>103827.71479404689</v>
      </c>
      <c r="AS37" s="17">
        <f t="shared" si="4"/>
        <v>40.666666666666664</v>
      </c>
      <c r="AT37" s="17"/>
      <c r="AU37" s="17"/>
      <c r="AV37" s="3"/>
      <c r="AW37" s="7">
        <v>2.1764705882352939</v>
      </c>
      <c r="AY37" s="17">
        <f t="shared" si="5"/>
        <v>426</v>
      </c>
      <c r="AZ37" s="17">
        <f t="shared" si="6"/>
        <v>397.28999999999996</v>
      </c>
      <c r="BA37" s="17">
        <f t="shared" si="7"/>
        <v>-97.873810735972697</v>
      </c>
      <c r="BB37" s="4">
        <f t="shared" si="8"/>
        <v>-0.2463535722922115</v>
      </c>
      <c r="BC37" s="3">
        <f t="shared" si="10"/>
        <v>101467.9940032731</v>
      </c>
      <c r="BD37" s="3">
        <f t="shared" si="11"/>
        <v>40.666666666666664</v>
      </c>
      <c r="BE37" s="3"/>
      <c r="BF37" s="3"/>
      <c r="BG37" s="7"/>
      <c r="BH37" s="7">
        <f t="shared" si="9"/>
        <v>1.9474999999999998</v>
      </c>
      <c r="BJ37" s="5" t="s">
        <v>100</v>
      </c>
      <c r="BK37" s="5" t="s">
        <v>100</v>
      </c>
      <c r="BL37" s="5" t="s">
        <v>100</v>
      </c>
      <c r="BN37" s="21"/>
      <c r="BP37">
        <v>37.19</v>
      </c>
      <c r="BT37" s="5" t="s">
        <v>101</v>
      </c>
      <c r="BV37" t="s">
        <v>101</v>
      </c>
      <c r="BX37" s="5" t="s">
        <v>114</v>
      </c>
      <c r="BZ37" t="s">
        <v>100</v>
      </c>
    </row>
    <row r="38" spans="1:78" x14ac:dyDescent="0.35">
      <c r="A38" s="3" t="s">
        <v>50</v>
      </c>
      <c r="B38" s="3" t="s">
        <v>83</v>
      </c>
      <c r="C38" s="3" t="s">
        <v>89</v>
      </c>
      <c r="D38" s="2" t="s">
        <v>118</v>
      </c>
      <c r="E38" s="3" t="s">
        <v>71</v>
      </c>
      <c r="F38" s="5"/>
      <c r="G38" s="14">
        <v>46</v>
      </c>
      <c r="H38" s="17">
        <v>46</v>
      </c>
      <c r="I38" s="3">
        <v>10.783197784832396</v>
      </c>
      <c r="J38" s="4">
        <f t="shared" si="2"/>
        <v>0.23441734314853035</v>
      </c>
      <c r="K38" s="3">
        <v>100619.43490047885</v>
      </c>
      <c r="L38" s="17">
        <v>11.666666666666666</v>
      </c>
      <c r="M38" s="17"/>
      <c r="N38" s="6"/>
      <c r="O38" s="3"/>
      <c r="P38" s="7">
        <v>2.1904761904761907</v>
      </c>
      <c r="Q38" s="15"/>
      <c r="R38" s="7">
        <v>64</v>
      </c>
      <c r="S38" s="7">
        <v>64</v>
      </c>
      <c r="T38" s="3">
        <v>25.261517563315643</v>
      </c>
      <c r="U38" s="4">
        <f t="shared" si="3"/>
        <v>0.39471121192680692</v>
      </c>
      <c r="V38" s="3">
        <v>110681.37839052675</v>
      </c>
      <c r="W38" s="17">
        <v>11.666666666666666</v>
      </c>
      <c r="X38" s="17"/>
      <c r="Y38" s="17"/>
      <c r="Z38" s="3"/>
      <c r="AA38" s="7">
        <v>3.0476190476190474</v>
      </c>
      <c r="AC38" s="3">
        <v>60</v>
      </c>
      <c r="AD38" s="3">
        <v>60</v>
      </c>
      <c r="AE38" s="3">
        <v>21.261517563315643</v>
      </c>
      <c r="AF38" s="4">
        <v>0.35435862605526069</v>
      </c>
      <c r="AG38" s="3">
        <v>110681.37839052675</v>
      </c>
      <c r="AH38" s="17">
        <v>11.666666666666666</v>
      </c>
      <c r="AI38" s="17"/>
      <c r="AJ38" s="17"/>
      <c r="AK38" s="3"/>
      <c r="AL38" s="7">
        <v>2.8571428571428572</v>
      </c>
      <c r="AN38" s="17">
        <v>62</v>
      </c>
      <c r="AO38" s="17">
        <v>62</v>
      </c>
      <c r="AP38" s="17">
        <v>23.261517563315643</v>
      </c>
      <c r="AQ38" s="4">
        <v>0.37518576715025231</v>
      </c>
      <c r="AR38" s="3">
        <v>110681.37839052675</v>
      </c>
      <c r="AS38" s="17">
        <f t="shared" si="4"/>
        <v>11.666666666666666</v>
      </c>
      <c r="AT38" s="17"/>
      <c r="AU38" s="17"/>
      <c r="AV38" s="3"/>
      <c r="AW38" s="7">
        <v>2.9523809523809526</v>
      </c>
      <c r="AY38" s="17">
        <f t="shared" si="5"/>
        <v>232</v>
      </c>
      <c r="AZ38" s="17">
        <f t="shared" si="6"/>
        <v>232</v>
      </c>
      <c r="BA38" s="17">
        <f t="shared" si="7"/>
        <v>80.567750474779331</v>
      </c>
      <c r="BB38" s="4">
        <f t="shared" si="8"/>
        <v>0.34727478652922128</v>
      </c>
      <c r="BC38" s="3">
        <f t="shared" si="10"/>
        <v>108165.89251801478</v>
      </c>
      <c r="BD38" s="3">
        <f t="shared" si="11"/>
        <v>11.666666666666666</v>
      </c>
      <c r="BE38" s="3"/>
      <c r="BF38" s="3"/>
      <c r="BG38" s="7"/>
      <c r="BH38" s="7">
        <f t="shared" si="9"/>
        <v>2.7619047619047619</v>
      </c>
      <c r="BJ38" s="5" t="s">
        <v>100</v>
      </c>
      <c r="BK38" s="5" t="s">
        <v>100</v>
      </c>
      <c r="BL38" s="5" t="s">
        <v>100</v>
      </c>
      <c r="BN38" s="21"/>
      <c r="BP38">
        <v>0</v>
      </c>
      <c r="BT38" s="5" t="s">
        <v>101</v>
      </c>
      <c r="BV38" t="s">
        <v>101</v>
      </c>
      <c r="BX38" s="5" t="s">
        <v>115</v>
      </c>
      <c r="BZ38" t="s">
        <v>101</v>
      </c>
    </row>
    <row r="39" spans="1:78" x14ac:dyDescent="0.35">
      <c r="A39" s="3" t="s">
        <v>6</v>
      </c>
      <c r="B39" s="3" t="s">
        <v>70</v>
      </c>
      <c r="C39" s="3" t="s">
        <v>86</v>
      </c>
      <c r="D39" s="2" t="s">
        <v>118</v>
      </c>
      <c r="E39" s="3" t="s">
        <v>2</v>
      </c>
      <c r="F39" s="5"/>
      <c r="G39" s="14">
        <v>15.5</v>
      </c>
      <c r="H39" s="17">
        <v>15.617506000000001</v>
      </c>
      <c r="I39" s="3">
        <v>7.2049330667986631</v>
      </c>
      <c r="J39" s="4">
        <f t="shared" si="2"/>
        <v>0.46133698087253255</v>
      </c>
      <c r="K39" s="3">
        <v>93473.032591125986</v>
      </c>
      <c r="L39" s="17">
        <v>3</v>
      </c>
      <c r="M39" s="17"/>
      <c r="N39" s="6"/>
      <c r="O39" s="3"/>
      <c r="P39" s="7">
        <v>2.6029176666666669</v>
      </c>
      <c r="Q39" s="15"/>
      <c r="R39" s="7">
        <v>18</v>
      </c>
      <c r="S39" s="7">
        <v>18</v>
      </c>
      <c r="T39" s="3">
        <v>8.7461697734785258</v>
      </c>
      <c r="U39" s="4">
        <f t="shared" si="3"/>
        <v>0.48589832074880701</v>
      </c>
      <c r="V39" s="3">
        <v>102820.3358502386</v>
      </c>
      <c r="W39" s="17">
        <v>3</v>
      </c>
      <c r="X39" s="17"/>
      <c r="Y39" s="17"/>
      <c r="Z39" s="3"/>
      <c r="AA39" s="7">
        <v>3</v>
      </c>
      <c r="AC39" s="3">
        <v>17</v>
      </c>
      <c r="AD39" s="3">
        <v>17</v>
      </c>
      <c r="AE39" s="3">
        <v>7.7461697734785258</v>
      </c>
      <c r="AF39" s="4">
        <v>0.45565704549873681</v>
      </c>
      <c r="AG39" s="3">
        <v>102820.3358502386</v>
      </c>
      <c r="AH39" s="17">
        <v>3</v>
      </c>
      <c r="AI39" s="17"/>
      <c r="AJ39" s="17"/>
      <c r="AK39" s="3"/>
      <c r="AL39" s="7">
        <v>2.8333333333333335</v>
      </c>
      <c r="AN39" s="17">
        <v>15</v>
      </c>
      <c r="AO39" s="17">
        <v>15</v>
      </c>
      <c r="AP39" s="17">
        <v>5.7461697734785258</v>
      </c>
      <c r="AQ39" s="4">
        <v>0.38307798489856837</v>
      </c>
      <c r="AR39" s="3">
        <v>102820.3358502386</v>
      </c>
      <c r="AS39" s="17">
        <f t="shared" si="4"/>
        <v>3</v>
      </c>
      <c r="AT39" s="17"/>
      <c r="AU39" s="17"/>
      <c r="AV39" s="3"/>
      <c r="AW39" s="7">
        <v>2.5</v>
      </c>
      <c r="AY39" s="17">
        <f t="shared" si="5"/>
        <v>65.5</v>
      </c>
      <c r="AZ39" s="17">
        <f t="shared" si="6"/>
        <v>65.617506000000006</v>
      </c>
      <c r="BA39" s="17">
        <f t="shared" si="7"/>
        <v>29.443442387234239</v>
      </c>
      <c r="BB39" s="4">
        <f t="shared" si="8"/>
        <v>0.44871321971966194</v>
      </c>
      <c r="BC39" s="3">
        <f t="shared" si="10"/>
        <v>100483.51003546044</v>
      </c>
      <c r="BD39" s="3">
        <f t="shared" si="11"/>
        <v>3</v>
      </c>
      <c r="BE39" s="3"/>
      <c r="BF39" s="3"/>
      <c r="BG39" s="7"/>
      <c r="BH39" s="7">
        <f t="shared" si="9"/>
        <v>2.7340627500000001</v>
      </c>
      <c r="BJ39" s="5" t="s">
        <v>100</v>
      </c>
      <c r="BK39" s="5" t="s">
        <v>100</v>
      </c>
      <c r="BL39" s="5" t="s">
        <v>100</v>
      </c>
      <c r="BN39" s="21"/>
      <c r="BP39">
        <v>0</v>
      </c>
      <c r="BT39" s="5" t="s">
        <v>101</v>
      </c>
      <c r="BV39" t="s">
        <v>101</v>
      </c>
      <c r="BX39" s="5" t="s">
        <v>115</v>
      </c>
      <c r="BZ39" t="s">
        <v>101</v>
      </c>
    </row>
    <row r="40" spans="1:78" x14ac:dyDescent="0.35">
      <c r="A40" s="3" t="s">
        <v>51</v>
      </c>
      <c r="B40" s="3" t="s">
        <v>70</v>
      </c>
      <c r="C40" s="3" t="s">
        <v>92</v>
      </c>
      <c r="D40" s="2" t="s">
        <v>118</v>
      </c>
      <c r="E40" s="3" t="s">
        <v>95</v>
      </c>
      <c r="F40" s="5"/>
      <c r="G40" s="14">
        <v>12</v>
      </c>
      <c r="H40" s="17">
        <v>21.461610400000001</v>
      </c>
      <c r="I40" s="3">
        <v>9.1148821293751645</v>
      </c>
      <c r="J40" s="4">
        <f t="shared" si="2"/>
        <v>0.4247063458656003</v>
      </c>
      <c r="K40" s="3">
        <v>102889.40225520697</v>
      </c>
      <c r="L40" s="17">
        <v>4</v>
      </c>
      <c r="M40" s="17"/>
      <c r="N40" s="6"/>
      <c r="O40" s="3"/>
      <c r="P40" s="7">
        <v>2.3077000430107528</v>
      </c>
      <c r="Q40" s="15"/>
      <c r="R40" s="7">
        <v>16</v>
      </c>
      <c r="S40" s="7">
        <v>16</v>
      </c>
      <c r="T40" s="3">
        <v>2.4185989023126808</v>
      </c>
      <c r="U40" s="4">
        <f t="shared" si="3"/>
        <v>0.15116243139454255</v>
      </c>
      <c r="V40" s="3">
        <v>113178.34248072768</v>
      </c>
      <c r="W40" s="17">
        <v>4</v>
      </c>
      <c r="X40" s="17"/>
      <c r="Y40" s="17"/>
      <c r="Z40" s="3"/>
      <c r="AA40" s="7">
        <v>1.7204301075268815</v>
      </c>
      <c r="AC40" s="3">
        <v>15</v>
      </c>
      <c r="AD40" s="3">
        <v>15</v>
      </c>
      <c r="AE40" s="3">
        <v>1.4185989023126808</v>
      </c>
      <c r="AF40" s="4">
        <v>9.4573260154178718E-2</v>
      </c>
      <c r="AG40" s="3">
        <v>113178.34248072768</v>
      </c>
      <c r="AH40" s="17">
        <v>4</v>
      </c>
      <c r="AI40" s="17"/>
      <c r="AJ40" s="17"/>
      <c r="AK40" s="3"/>
      <c r="AL40" s="7">
        <v>1.6129032258064515</v>
      </c>
      <c r="AN40" s="17">
        <v>15</v>
      </c>
      <c r="AO40" s="17">
        <v>15</v>
      </c>
      <c r="AP40" s="17">
        <v>1.4185989023126808</v>
      </c>
      <c r="AQ40" s="4">
        <v>9.4573260154178718E-2</v>
      </c>
      <c r="AR40" s="3">
        <v>113178.34248072768</v>
      </c>
      <c r="AS40" s="17">
        <f t="shared" si="4"/>
        <v>4</v>
      </c>
      <c r="AT40" s="17"/>
      <c r="AU40" s="17"/>
      <c r="AV40" s="3"/>
      <c r="AW40" s="7">
        <v>1.6129032258064515</v>
      </c>
      <c r="AY40" s="17">
        <f t="shared" si="5"/>
        <v>58</v>
      </c>
      <c r="AZ40" s="17">
        <f t="shared" si="6"/>
        <v>67.461610399999998</v>
      </c>
      <c r="BA40" s="17">
        <f t="shared" si="7"/>
        <v>14.370678836313207</v>
      </c>
      <c r="BB40" s="4">
        <f t="shared" si="8"/>
        <v>0.21302009766895821</v>
      </c>
      <c r="BC40" s="3">
        <f t="shared" si="10"/>
        <v>110606.10742434752</v>
      </c>
      <c r="BD40" s="3">
        <f t="shared" si="11"/>
        <v>4</v>
      </c>
      <c r="BE40" s="3"/>
      <c r="BF40" s="3"/>
      <c r="BG40" s="7"/>
      <c r="BH40" s="7">
        <f t="shared" si="9"/>
        <v>1.8134841505376347</v>
      </c>
      <c r="BJ40" s="5" t="s">
        <v>100</v>
      </c>
      <c r="BK40" s="5" t="s">
        <v>100</v>
      </c>
      <c r="BL40" s="5" t="s">
        <v>100</v>
      </c>
      <c r="BN40" s="21"/>
      <c r="BP40">
        <v>0</v>
      </c>
      <c r="BR40">
        <f>1677628/100000</f>
        <v>16.77628</v>
      </c>
      <c r="BT40" s="5" t="s">
        <v>101</v>
      </c>
      <c r="BV40" t="s">
        <v>100</v>
      </c>
      <c r="BX40" s="5" t="s">
        <v>116</v>
      </c>
      <c r="BZ40" t="s">
        <v>101</v>
      </c>
    </row>
    <row r="41" spans="1:78" x14ac:dyDescent="0.35">
      <c r="A41" s="3" t="s">
        <v>64</v>
      </c>
      <c r="B41" s="3" t="s">
        <v>70</v>
      </c>
      <c r="C41" s="3" t="s">
        <v>93</v>
      </c>
      <c r="D41" s="2" t="s">
        <v>118</v>
      </c>
      <c r="E41" s="3" t="s">
        <v>2</v>
      </c>
      <c r="F41" s="5"/>
      <c r="G41" s="14">
        <v>0</v>
      </c>
      <c r="H41" s="17">
        <v>0</v>
      </c>
      <c r="I41" s="3">
        <v>0</v>
      </c>
      <c r="J41" s="4">
        <f t="shared" si="2"/>
        <v>0</v>
      </c>
      <c r="K41" s="3">
        <v>0</v>
      </c>
      <c r="L41" s="17">
        <v>0</v>
      </c>
      <c r="M41" s="17"/>
      <c r="N41" s="6"/>
      <c r="O41" s="3"/>
      <c r="P41" s="7">
        <v>0</v>
      </c>
      <c r="Q41" s="15"/>
      <c r="R41" s="7">
        <v>0</v>
      </c>
      <c r="S41" s="7">
        <v>0</v>
      </c>
      <c r="T41" s="3">
        <v>0</v>
      </c>
      <c r="U41" s="4">
        <f t="shared" si="3"/>
        <v>0</v>
      </c>
      <c r="V41" s="3">
        <v>0</v>
      </c>
      <c r="W41" s="17">
        <v>0</v>
      </c>
      <c r="X41" s="17"/>
      <c r="Y41" s="17"/>
      <c r="Z41" s="3"/>
      <c r="AA41" s="7">
        <v>0</v>
      </c>
      <c r="AC41" s="3">
        <v>0</v>
      </c>
      <c r="AD41" s="3">
        <v>0</v>
      </c>
      <c r="AE41" s="3">
        <v>0</v>
      </c>
      <c r="AF41" s="4">
        <v>0</v>
      </c>
      <c r="AG41" s="3">
        <v>0</v>
      </c>
      <c r="AH41" s="17">
        <v>0</v>
      </c>
      <c r="AI41" s="17"/>
      <c r="AJ41" s="17"/>
      <c r="AK41" s="3"/>
      <c r="AL41" s="7">
        <v>0</v>
      </c>
      <c r="AN41" s="17">
        <v>0</v>
      </c>
      <c r="AO41" s="17">
        <v>0</v>
      </c>
      <c r="AP41" s="17">
        <v>0</v>
      </c>
      <c r="AQ41" s="4">
        <v>0</v>
      </c>
      <c r="AR41" s="3">
        <v>0</v>
      </c>
      <c r="AS41" s="17">
        <f t="shared" si="4"/>
        <v>0</v>
      </c>
      <c r="AT41" s="17"/>
      <c r="AU41" s="17"/>
      <c r="AV41" s="3"/>
      <c r="AW41" s="7">
        <v>0</v>
      </c>
      <c r="AY41" s="17">
        <f t="shared" si="5"/>
        <v>0</v>
      </c>
      <c r="AZ41" s="17">
        <f t="shared" si="6"/>
        <v>0</v>
      </c>
      <c r="BA41" s="17">
        <f t="shared" si="7"/>
        <v>0</v>
      </c>
      <c r="BB41" s="4">
        <f t="shared" si="8"/>
        <v>0</v>
      </c>
      <c r="BC41" s="3">
        <f t="shared" si="10"/>
        <v>0</v>
      </c>
      <c r="BD41" s="3">
        <f t="shared" si="11"/>
        <v>0</v>
      </c>
      <c r="BE41" s="3"/>
      <c r="BF41" s="3"/>
      <c r="BG41" s="7"/>
      <c r="BH41" s="7">
        <f t="shared" si="9"/>
        <v>0</v>
      </c>
      <c r="BJ41" s="5" t="s">
        <v>100</v>
      </c>
      <c r="BK41" s="5" t="s">
        <v>100</v>
      </c>
      <c r="BL41" s="5" t="s">
        <v>100</v>
      </c>
      <c r="BN41" s="21"/>
      <c r="BP41">
        <v>0</v>
      </c>
      <c r="BT41" s="5" t="s">
        <v>101</v>
      </c>
      <c r="BV41" t="s">
        <v>101</v>
      </c>
      <c r="BX41" s="5"/>
      <c r="BZ41" t="s">
        <v>101</v>
      </c>
    </row>
    <row r="42" spans="1:78" x14ac:dyDescent="0.35">
      <c r="A42" s="3" t="s">
        <v>52</v>
      </c>
      <c r="B42" s="3" t="s">
        <v>70</v>
      </c>
      <c r="C42" s="3" t="s">
        <v>92</v>
      </c>
      <c r="D42" s="2" t="s">
        <v>118</v>
      </c>
      <c r="E42" s="3" t="s">
        <v>95</v>
      </c>
      <c r="F42" s="5"/>
      <c r="G42" s="14">
        <v>28.5</v>
      </c>
      <c r="H42" s="17">
        <v>28.33</v>
      </c>
      <c r="I42" s="3">
        <v>11.953775311772247</v>
      </c>
      <c r="J42" s="4">
        <f t="shared" si="2"/>
        <v>0.42194759307349977</v>
      </c>
      <c r="K42" s="3">
        <v>109174.83125485166</v>
      </c>
      <c r="L42" s="17">
        <v>5</v>
      </c>
      <c r="M42" s="17"/>
      <c r="N42" s="6"/>
      <c r="O42" s="3"/>
      <c r="P42" s="7">
        <v>2.9510416666666659</v>
      </c>
      <c r="Q42" s="15"/>
      <c r="R42" s="7">
        <v>28.5</v>
      </c>
      <c r="S42" s="7">
        <v>28.5</v>
      </c>
      <c r="T42" s="3">
        <v>10.486152842949476</v>
      </c>
      <c r="U42" s="4">
        <f t="shared" si="3"/>
        <v>0.36793518747191145</v>
      </c>
      <c r="V42" s="3">
        <v>120092.31438033683</v>
      </c>
      <c r="W42" s="17">
        <v>5</v>
      </c>
      <c r="X42" s="17"/>
      <c r="Y42" s="17"/>
      <c r="Z42" s="3"/>
      <c r="AA42" s="7">
        <v>2.9687499999999996</v>
      </c>
      <c r="AC42" s="3">
        <v>33</v>
      </c>
      <c r="AD42" s="3">
        <v>33</v>
      </c>
      <c r="AE42" s="3">
        <v>14.986152842949476</v>
      </c>
      <c r="AF42" s="4">
        <v>0.45412584372574172</v>
      </c>
      <c r="AG42" s="3">
        <v>120092.31438033683</v>
      </c>
      <c r="AH42" s="17">
        <v>5</v>
      </c>
      <c r="AI42" s="17"/>
      <c r="AJ42" s="17"/>
      <c r="AK42" s="3"/>
      <c r="AL42" s="7">
        <v>3.4374999999999996</v>
      </c>
      <c r="AN42" s="17">
        <v>15</v>
      </c>
      <c r="AO42" s="17">
        <v>15</v>
      </c>
      <c r="AP42" s="17">
        <v>-3.0138471570505239</v>
      </c>
      <c r="AQ42" s="4">
        <v>-0.20092314380336826</v>
      </c>
      <c r="AR42" s="3">
        <v>120092.31438033683</v>
      </c>
      <c r="AS42" s="17">
        <f t="shared" si="4"/>
        <v>5</v>
      </c>
      <c r="AT42" s="17"/>
      <c r="AU42" s="17"/>
      <c r="AV42" s="3"/>
      <c r="AW42" s="7">
        <v>1.5624999999999998</v>
      </c>
      <c r="AY42" s="17">
        <f t="shared" si="5"/>
        <v>105</v>
      </c>
      <c r="AZ42" s="17">
        <f t="shared" si="6"/>
        <v>104.83</v>
      </c>
      <c r="BA42" s="17">
        <f t="shared" si="7"/>
        <v>34.412233840620672</v>
      </c>
      <c r="BB42" s="4">
        <f t="shared" si="8"/>
        <v>0.3282670403569653</v>
      </c>
      <c r="BC42" s="3">
        <f t="shared" si="10"/>
        <v>117362.94359896555</v>
      </c>
      <c r="BD42" s="3">
        <f t="shared" si="11"/>
        <v>5</v>
      </c>
      <c r="BE42" s="3"/>
      <c r="BF42" s="3"/>
      <c r="BG42" s="7"/>
      <c r="BH42" s="7">
        <f t="shared" si="9"/>
        <v>2.7299479166666663</v>
      </c>
      <c r="BJ42" s="5" t="s">
        <v>100</v>
      </c>
      <c r="BK42" s="5" t="s">
        <v>100</v>
      </c>
      <c r="BL42" s="5" t="s">
        <v>100</v>
      </c>
      <c r="BN42" s="21">
        <f>422500/100000</f>
        <v>4.2249999999999996</v>
      </c>
      <c r="BP42">
        <f>1017000/100000</f>
        <v>10.17</v>
      </c>
      <c r="BT42" s="5" t="s">
        <v>101</v>
      </c>
      <c r="BV42" t="s">
        <v>101</v>
      </c>
      <c r="BX42" s="5" t="s">
        <v>106</v>
      </c>
      <c r="BZ42" t="s">
        <v>101</v>
      </c>
    </row>
    <row r="43" spans="1:78" x14ac:dyDescent="0.35">
      <c r="A43" s="3" t="s">
        <v>53</v>
      </c>
      <c r="B43" s="3" t="s">
        <v>83</v>
      </c>
      <c r="C43" s="3" t="s">
        <v>93</v>
      </c>
      <c r="D43" s="2" t="s">
        <v>118</v>
      </c>
      <c r="E43" s="3" t="s">
        <v>71</v>
      </c>
      <c r="F43" s="5"/>
      <c r="G43" s="14">
        <v>0</v>
      </c>
      <c r="H43" s="17">
        <v>1</v>
      </c>
      <c r="I43" s="3">
        <v>9.9999999999999978E-2</v>
      </c>
      <c r="J43" s="4">
        <f t="shared" si="2"/>
        <v>9.9999999999999978E-2</v>
      </c>
      <c r="K43" s="3">
        <v>90000</v>
      </c>
      <c r="L43" s="17">
        <v>0.33333333333333331</v>
      </c>
      <c r="M43" s="17"/>
      <c r="N43" s="6"/>
      <c r="O43" s="3"/>
      <c r="P43" s="7">
        <v>0.33333333333333331</v>
      </c>
      <c r="Q43" s="15"/>
      <c r="R43" s="7">
        <v>0</v>
      </c>
      <c r="S43" s="7">
        <v>0</v>
      </c>
      <c r="T43" s="3">
        <v>0</v>
      </c>
      <c r="U43" s="4">
        <f t="shared" si="3"/>
        <v>0</v>
      </c>
      <c r="V43" s="3">
        <v>0</v>
      </c>
      <c r="W43" s="17">
        <v>0</v>
      </c>
      <c r="X43" s="17"/>
      <c r="Y43" s="17"/>
      <c r="Z43" s="3"/>
      <c r="AA43" s="7">
        <v>0</v>
      </c>
      <c r="AC43" s="3">
        <v>0</v>
      </c>
      <c r="AD43" s="3">
        <v>0</v>
      </c>
      <c r="AE43" s="3">
        <v>0</v>
      </c>
      <c r="AF43" s="4">
        <v>0</v>
      </c>
      <c r="AG43" s="3">
        <v>0</v>
      </c>
      <c r="AH43" s="17">
        <v>0</v>
      </c>
      <c r="AI43" s="17"/>
      <c r="AJ43" s="17"/>
      <c r="AK43" s="3"/>
      <c r="AL43" s="7">
        <v>0</v>
      </c>
      <c r="AN43" s="17">
        <v>0</v>
      </c>
      <c r="AO43" s="17">
        <v>0</v>
      </c>
      <c r="AP43" s="17">
        <v>0</v>
      </c>
      <c r="AQ43" s="4">
        <v>0</v>
      </c>
      <c r="AR43" s="3">
        <v>0</v>
      </c>
      <c r="AS43" s="17">
        <f t="shared" si="4"/>
        <v>0</v>
      </c>
      <c r="AT43" s="17"/>
      <c r="AU43" s="17"/>
      <c r="AV43" s="3"/>
      <c r="AW43" s="7">
        <v>0</v>
      </c>
      <c r="AY43" s="17">
        <f t="shared" si="5"/>
        <v>0</v>
      </c>
      <c r="AZ43" s="17">
        <f t="shared" si="6"/>
        <v>1</v>
      </c>
      <c r="BA43" s="17">
        <f t="shared" si="7"/>
        <v>9.9999999999999978E-2</v>
      </c>
      <c r="BB43" s="4">
        <f t="shared" si="8"/>
        <v>9.9999999999999978E-2</v>
      </c>
      <c r="BC43" s="3">
        <f t="shared" si="10"/>
        <v>22500</v>
      </c>
      <c r="BD43" s="3">
        <f t="shared" si="11"/>
        <v>8.3333333333333329E-2</v>
      </c>
      <c r="BE43" s="3"/>
      <c r="BF43" s="3"/>
      <c r="BG43" s="7"/>
      <c r="BH43" s="7">
        <f t="shared" si="9"/>
        <v>8.3333333333333329E-2</v>
      </c>
      <c r="BJ43" s="5" t="s">
        <v>100</v>
      </c>
      <c r="BK43" s="5" t="s">
        <v>100</v>
      </c>
      <c r="BL43" s="5" t="s">
        <v>100</v>
      </c>
      <c r="BN43" s="21"/>
      <c r="BP43">
        <v>0</v>
      </c>
      <c r="BT43" s="5" t="s">
        <v>101</v>
      </c>
      <c r="BV43" t="s">
        <v>101</v>
      </c>
      <c r="BX43" s="5"/>
      <c r="BZ43" t="s">
        <v>101</v>
      </c>
    </row>
    <row r="44" spans="1:78" x14ac:dyDescent="0.35">
      <c r="A44" s="3" t="s">
        <v>54</v>
      </c>
      <c r="B44" s="3" t="s">
        <v>83</v>
      </c>
      <c r="C44" s="3" t="s">
        <v>88</v>
      </c>
      <c r="D44" s="2" t="s">
        <v>118</v>
      </c>
      <c r="E44" s="3" t="s">
        <v>71</v>
      </c>
      <c r="F44" s="5"/>
      <c r="G44" s="14">
        <v>20</v>
      </c>
      <c r="H44" s="17">
        <v>19.856249999999999</v>
      </c>
      <c r="I44" s="3">
        <v>4.3001544268574143</v>
      </c>
      <c r="J44" s="4">
        <f t="shared" si="2"/>
        <v>0.21656427708441495</v>
      </c>
      <c r="K44" s="3">
        <v>112725.33024016366</v>
      </c>
      <c r="L44" s="17">
        <v>4.6000000000000005</v>
      </c>
      <c r="M44" s="17"/>
      <c r="N44" s="6"/>
      <c r="O44" s="3"/>
      <c r="P44" s="7">
        <v>2.2062499999999998</v>
      </c>
      <c r="Q44" s="15"/>
      <c r="R44" s="7">
        <v>20</v>
      </c>
      <c r="S44" s="7">
        <v>20</v>
      </c>
      <c r="T44" s="3">
        <v>2.8882948695431523</v>
      </c>
      <c r="U44" s="4">
        <f t="shared" si="3"/>
        <v>0.1444147434771576</v>
      </c>
      <c r="V44" s="3">
        <v>123997.86326418004</v>
      </c>
      <c r="W44" s="17">
        <v>4.6000000000000005</v>
      </c>
      <c r="X44" s="17"/>
      <c r="Y44" s="17"/>
      <c r="Z44" s="3"/>
      <c r="AA44" s="7">
        <v>2.2222222222222223</v>
      </c>
      <c r="AC44" s="3">
        <v>12</v>
      </c>
      <c r="AD44" s="3">
        <v>12</v>
      </c>
      <c r="AE44" s="3">
        <v>-5.1117051304568477</v>
      </c>
      <c r="AF44" s="4">
        <v>-0.42597542753807066</v>
      </c>
      <c r="AG44" s="3">
        <v>123997.86326418004</v>
      </c>
      <c r="AH44" s="17">
        <v>4.6000000000000005</v>
      </c>
      <c r="AI44" s="17"/>
      <c r="AJ44" s="17"/>
      <c r="AK44" s="3"/>
      <c r="AL44" s="7">
        <v>1.3333333333333333</v>
      </c>
      <c r="AN44" s="17">
        <v>15</v>
      </c>
      <c r="AO44" s="17">
        <v>15</v>
      </c>
      <c r="AP44" s="17">
        <v>-2.1117051304568477</v>
      </c>
      <c r="AQ44" s="4">
        <v>-0.1407803420304565</v>
      </c>
      <c r="AR44" s="3">
        <v>123997.86326418004</v>
      </c>
      <c r="AS44" s="17">
        <f t="shared" si="4"/>
        <v>4.6000000000000005</v>
      </c>
      <c r="AT44" s="17"/>
      <c r="AU44" s="17"/>
      <c r="AV44" s="3"/>
      <c r="AW44" s="7">
        <v>1.6666666666666667</v>
      </c>
      <c r="AY44" s="17">
        <f t="shared" si="5"/>
        <v>67</v>
      </c>
      <c r="AZ44" s="17">
        <f t="shared" si="6"/>
        <v>66.856250000000003</v>
      </c>
      <c r="BA44" s="17">
        <f t="shared" si="7"/>
        <v>-3.49609645131288E-2</v>
      </c>
      <c r="BB44" s="4">
        <f t="shared" si="8"/>
        <v>-5.2292739292330638E-4</v>
      </c>
      <c r="BC44" s="3">
        <f t="shared" si="10"/>
        <v>121179.73000817593</v>
      </c>
      <c r="BD44" s="3">
        <f t="shared" si="11"/>
        <v>4.6000000000000005</v>
      </c>
      <c r="BE44" s="3"/>
      <c r="BF44" s="3"/>
      <c r="BG44" s="7"/>
      <c r="BH44" s="7">
        <f t="shared" si="9"/>
        <v>1.8571180555555555</v>
      </c>
      <c r="BJ44" s="5" t="s">
        <v>100</v>
      </c>
      <c r="BK44" s="5" t="s">
        <v>100</v>
      </c>
      <c r="BL44" s="5" t="s">
        <v>100</v>
      </c>
      <c r="BN44" s="21">
        <f>1308437.5/100000</f>
        <v>13.084375</v>
      </c>
      <c r="BP44">
        <v>2.9</v>
      </c>
      <c r="BR44">
        <f>853288/100000</f>
        <v>8.5328800000000005</v>
      </c>
      <c r="BT44" s="5" t="s">
        <v>101</v>
      </c>
      <c r="BV44" t="s">
        <v>101</v>
      </c>
      <c r="BX44" s="5"/>
      <c r="BZ44" t="s">
        <v>101</v>
      </c>
    </row>
    <row r="45" spans="1:78" x14ac:dyDescent="0.35">
      <c r="A45" s="3" t="s">
        <v>55</v>
      </c>
      <c r="B45" s="3" t="s">
        <v>83</v>
      </c>
      <c r="C45" s="3" t="s">
        <v>94</v>
      </c>
      <c r="D45" s="2" t="s">
        <v>118</v>
      </c>
      <c r="E45" s="3" t="s">
        <v>71</v>
      </c>
      <c r="F45" s="5"/>
      <c r="G45" s="14">
        <v>33.580799999999996</v>
      </c>
      <c r="H45" s="17">
        <v>26.142800000000001</v>
      </c>
      <c r="I45" s="3">
        <v>12.264640410293163</v>
      </c>
      <c r="J45" s="4">
        <f t="shared" si="2"/>
        <v>0.46914027611017806</v>
      </c>
      <c r="K45" s="3">
        <v>115651.32991422365</v>
      </c>
      <c r="L45" s="17">
        <v>4</v>
      </c>
      <c r="M45" s="17"/>
      <c r="N45" s="6"/>
      <c r="O45" s="3"/>
      <c r="P45" s="7">
        <v>2.9047555555555555</v>
      </c>
      <c r="Q45" s="15"/>
      <c r="R45" s="7">
        <v>43.296000000000006</v>
      </c>
      <c r="S45" s="7">
        <v>43.296000000000006</v>
      </c>
      <c r="T45" s="3">
        <v>28.030024451322483</v>
      </c>
      <c r="U45" s="4">
        <f t="shared" si="3"/>
        <v>0.64740448196883038</v>
      </c>
      <c r="V45" s="3">
        <v>127216.46290564603</v>
      </c>
      <c r="W45" s="17">
        <v>4</v>
      </c>
      <c r="X45" s="17"/>
      <c r="Y45" s="17"/>
      <c r="Z45" s="3"/>
      <c r="AA45" s="7">
        <v>4.8106666666666671</v>
      </c>
      <c r="AC45" s="3">
        <v>43.296000000000006</v>
      </c>
      <c r="AD45" s="3">
        <v>43.296000000000006</v>
      </c>
      <c r="AE45" s="3">
        <v>28.030024451322483</v>
      </c>
      <c r="AF45" s="4">
        <v>0.64740448196883038</v>
      </c>
      <c r="AG45" s="3">
        <v>127216.46290564603</v>
      </c>
      <c r="AH45" s="17">
        <v>4</v>
      </c>
      <c r="AI45" s="17"/>
      <c r="AJ45" s="17"/>
      <c r="AK45" s="3"/>
      <c r="AL45" s="7">
        <v>4.8106666666666671</v>
      </c>
      <c r="AN45" s="17">
        <v>43.296000000000006</v>
      </c>
      <c r="AO45" s="17">
        <v>43.296000000000006</v>
      </c>
      <c r="AP45" s="17">
        <v>28.030024451322483</v>
      </c>
      <c r="AQ45" s="4">
        <v>0.64740448196883038</v>
      </c>
      <c r="AR45" s="3">
        <v>127216.46290564603</v>
      </c>
      <c r="AS45" s="17">
        <f t="shared" si="4"/>
        <v>4</v>
      </c>
      <c r="AT45" s="17"/>
      <c r="AU45" s="17"/>
      <c r="AV45" s="3"/>
      <c r="AW45" s="7">
        <v>4.8106666666666671</v>
      </c>
      <c r="AY45" s="17">
        <f t="shared" si="5"/>
        <v>163.46880000000004</v>
      </c>
      <c r="AZ45" s="17">
        <f t="shared" si="6"/>
        <v>156.03080000000003</v>
      </c>
      <c r="BA45" s="17">
        <f t="shared" si="7"/>
        <v>96.354713764260623</v>
      </c>
      <c r="BB45" s="4">
        <f t="shared" si="8"/>
        <v>0.61753649769315166</v>
      </c>
      <c r="BC45" s="3">
        <f t="shared" si="10"/>
        <v>124325.17965779043</v>
      </c>
      <c r="BD45" s="3">
        <f t="shared" si="11"/>
        <v>4</v>
      </c>
      <c r="BE45" s="3"/>
      <c r="BF45" s="3"/>
      <c r="BG45" s="7"/>
      <c r="BH45" s="7">
        <f t="shared" si="9"/>
        <v>4.3341888888888889</v>
      </c>
      <c r="BJ45" s="5" t="s">
        <v>100</v>
      </c>
      <c r="BK45" s="5" t="s">
        <v>100</v>
      </c>
      <c r="BL45" s="5" t="s">
        <v>100</v>
      </c>
      <c r="BN45" s="21">
        <f>1970400/100000</f>
        <v>19.704000000000001</v>
      </c>
      <c r="BP45">
        <v>7.97</v>
      </c>
      <c r="BT45" s="5" t="s">
        <v>101</v>
      </c>
      <c r="BV45" t="s">
        <v>100</v>
      </c>
      <c r="BX45" s="5"/>
      <c r="BZ45" t="s">
        <v>101</v>
      </c>
    </row>
    <row r="46" spans="1:78" x14ac:dyDescent="0.35">
      <c r="A46" s="3" t="s">
        <v>56</v>
      </c>
      <c r="B46" s="3" t="s">
        <v>70</v>
      </c>
      <c r="C46" s="3" t="s">
        <v>86</v>
      </c>
      <c r="D46" s="2" t="s">
        <v>118</v>
      </c>
      <c r="E46" s="3" t="s">
        <v>2</v>
      </c>
      <c r="F46" s="5"/>
      <c r="G46" s="14">
        <v>19.099999999999998</v>
      </c>
      <c r="H46" s="17">
        <v>25.450000000000003</v>
      </c>
      <c r="I46" s="3">
        <v>11.208902406452644</v>
      </c>
      <c r="J46" s="4">
        <f t="shared" si="2"/>
        <v>0.44042838532230422</v>
      </c>
      <c r="K46" s="3">
        <v>74953.145229196627</v>
      </c>
      <c r="L46" s="17">
        <v>6.333333333333333</v>
      </c>
      <c r="M46" s="17"/>
      <c r="N46" s="6"/>
      <c r="O46" s="3"/>
      <c r="P46" s="7">
        <v>1.6966666666666668</v>
      </c>
      <c r="Q46" s="15"/>
      <c r="R46" s="7">
        <v>20.399999999999999</v>
      </c>
      <c r="S46" s="7">
        <v>20.399999999999999</v>
      </c>
      <c r="T46" s="3">
        <v>4.7347926470979029</v>
      </c>
      <c r="U46" s="4">
        <f t="shared" si="3"/>
        <v>0.23209767877930898</v>
      </c>
      <c r="V46" s="3">
        <v>82448.459752116294</v>
      </c>
      <c r="W46" s="17">
        <v>6.333333333333333</v>
      </c>
      <c r="X46" s="17"/>
      <c r="Y46" s="17"/>
      <c r="Z46" s="3"/>
      <c r="AA46" s="7">
        <v>1.3599999999999999</v>
      </c>
      <c r="AC46" s="3">
        <v>21.65</v>
      </c>
      <c r="AD46" s="3">
        <v>21.65</v>
      </c>
      <c r="AE46" s="3">
        <v>5.9847926470979029</v>
      </c>
      <c r="AF46" s="4">
        <v>0.27643384051260522</v>
      </c>
      <c r="AG46" s="3">
        <v>82448.459752116294</v>
      </c>
      <c r="AH46" s="17">
        <v>6.333333333333333</v>
      </c>
      <c r="AI46" s="17"/>
      <c r="AJ46" s="17"/>
      <c r="AK46" s="3"/>
      <c r="AL46" s="7">
        <v>1.4433333333333331</v>
      </c>
      <c r="AN46" s="17">
        <v>20.100000000000001</v>
      </c>
      <c r="AO46" s="17">
        <v>20.100000000000001</v>
      </c>
      <c r="AP46" s="17">
        <v>4.4347926470979058</v>
      </c>
      <c r="AQ46" s="4">
        <v>0.22063645010437341</v>
      </c>
      <c r="AR46" s="3">
        <v>82448.459752116294</v>
      </c>
      <c r="AS46" s="17">
        <f t="shared" si="4"/>
        <v>6.333333333333333</v>
      </c>
      <c r="AT46" s="17"/>
      <c r="AU46" s="17"/>
      <c r="AV46" s="3"/>
      <c r="AW46" s="7">
        <v>1.34</v>
      </c>
      <c r="AY46" s="17">
        <f t="shared" si="5"/>
        <v>81.25</v>
      </c>
      <c r="AZ46" s="17">
        <f t="shared" si="6"/>
        <v>87.6</v>
      </c>
      <c r="BA46" s="17">
        <f t="shared" si="7"/>
        <v>26.363280347746354</v>
      </c>
      <c r="BB46" s="4">
        <f t="shared" si="8"/>
        <v>0.30095068890121413</v>
      </c>
      <c r="BC46" s="3">
        <f t="shared" si="10"/>
        <v>80574.631121386381</v>
      </c>
      <c r="BD46" s="3">
        <f t="shared" si="11"/>
        <v>6.333333333333333</v>
      </c>
      <c r="BE46" s="3"/>
      <c r="BF46" s="3"/>
      <c r="BG46" s="7"/>
      <c r="BH46" s="7">
        <f t="shared" si="9"/>
        <v>1.46</v>
      </c>
      <c r="BJ46" s="5" t="s">
        <v>100</v>
      </c>
      <c r="BK46" s="5" t="s">
        <v>100</v>
      </c>
      <c r="BL46" s="5" t="s">
        <v>100</v>
      </c>
      <c r="BN46" s="21"/>
      <c r="BP46">
        <f>1065000/100000</f>
        <v>10.65</v>
      </c>
      <c r="BT46" s="5" t="s">
        <v>101</v>
      </c>
      <c r="BV46" t="s">
        <v>101</v>
      </c>
      <c r="BX46" s="5" t="s">
        <v>115</v>
      </c>
      <c r="BZ46" t="s">
        <v>101</v>
      </c>
    </row>
    <row r="47" spans="1:78" x14ac:dyDescent="0.35">
      <c r="A47" s="3" t="s">
        <v>57</v>
      </c>
      <c r="B47" s="3" t="s">
        <v>70</v>
      </c>
      <c r="C47" s="3" t="s">
        <v>86</v>
      </c>
      <c r="D47" s="2" t="s">
        <v>118</v>
      </c>
      <c r="E47" s="3" t="s">
        <v>2</v>
      </c>
      <c r="F47" s="5"/>
      <c r="G47" s="14">
        <v>12</v>
      </c>
      <c r="H47" s="17">
        <v>10.2751</v>
      </c>
      <c r="I47" s="3">
        <v>2.6676429183629997</v>
      </c>
      <c r="J47" s="4">
        <f t="shared" si="2"/>
        <v>0.25962208819018789</v>
      </c>
      <c r="K47" s="3">
        <v>108677.95830910001</v>
      </c>
      <c r="L47" s="17">
        <v>2.3333333333333335</v>
      </c>
      <c r="M47" s="17"/>
      <c r="N47" s="6"/>
      <c r="O47" s="3"/>
      <c r="P47" s="7">
        <v>1.7125166666666667</v>
      </c>
      <c r="Q47" s="15"/>
      <c r="R47" s="7">
        <v>12</v>
      </c>
      <c r="S47" s="7">
        <v>12</v>
      </c>
      <c r="T47" s="3">
        <v>3.6317972101992986</v>
      </c>
      <c r="U47" s="4">
        <f t="shared" si="3"/>
        <v>0.30264976751660821</v>
      </c>
      <c r="V47" s="3">
        <v>119545.75414001002</v>
      </c>
      <c r="W47" s="17">
        <v>2.3333333333333335</v>
      </c>
      <c r="X47" s="17"/>
      <c r="Y47" s="17"/>
      <c r="Z47" s="3"/>
      <c r="AA47" s="7">
        <v>2</v>
      </c>
      <c r="AC47" s="3">
        <v>12</v>
      </c>
      <c r="AD47" s="3">
        <v>12</v>
      </c>
      <c r="AE47" s="3">
        <v>3.6317972101992986</v>
      </c>
      <c r="AF47" s="4">
        <v>0.30264976751660821</v>
      </c>
      <c r="AG47" s="3">
        <v>119545.75414001002</v>
      </c>
      <c r="AH47" s="17">
        <v>2.3333333333333335</v>
      </c>
      <c r="AI47" s="17"/>
      <c r="AJ47" s="17"/>
      <c r="AK47" s="3"/>
      <c r="AL47" s="7">
        <v>2</v>
      </c>
      <c r="AN47" s="17">
        <v>12</v>
      </c>
      <c r="AO47" s="17">
        <v>12</v>
      </c>
      <c r="AP47" s="17">
        <v>3.6317972101992986</v>
      </c>
      <c r="AQ47" s="4">
        <v>0.30264976751660821</v>
      </c>
      <c r="AR47" s="3">
        <v>119545.75414001002</v>
      </c>
      <c r="AS47" s="17">
        <f t="shared" si="4"/>
        <v>2.3333333333333335</v>
      </c>
      <c r="AT47" s="17"/>
      <c r="AU47" s="17"/>
      <c r="AV47" s="3"/>
      <c r="AW47" s="7">
        <v>2</v>
      </c>
      <c r="AY47" s="17">
        <f t="shared" si="5"/>
        <v>48</v>
      </c>
      <c r="AZ47" s="17">
        <f t="shared" si="6"/>
        <v>46.275100000000002</v>
      </c>
      <c r="BA47" s="17">
        <f t="shared" si="7"/>
        <v>13.563034548960896</v>
      </c>
      <c r="BB47" s="4">
        <f t="shared" si="8"/>
        <v>0.29309573720987953</v>
      </c>
      <c r="BC47" s="3">
        <f t="shared" si="10"/>
        <v>116828.80518228252</v>
      </c>
      <c r="BD47" s="3">
        <f t="shared" si="11"/>
        <v>2.3333333333333335</v>
      </c>
      <c r="BE47" s="3"/>
      <c r="BF47" s="3"/>
      <c r="BG47" s="7"/>
      <c r="BH47" s="7">
        <f t="shared" si="9"/>
        <v>1.9281291666666667</v>
      </c>
      <c r="BJ47" s="5" t="s">
        <v>100</v>
      </c>
      <c r="BK47" s="5" t="s">
        <v>100</v>
      </c>
      <c r="BL47" s="5" t="s">
        <v>100</v>
      </c>
      <c r="BN47" s="21"/>
      <c r="BP47">
        <v>0</v>
      </c>
      <c r="BT47" s="5" t="s">
        <v>101</v>
      </c>
      <c r="BV47" t="s">
        <v>101</v>
      </c>
      <c r="BX47" s="5"/>
      <c r="BZ47" t="s">
        <v>101</v>
      </c>
    </row>
    <row r="48" spans="1:78" x14ac:dyDescent="0.35">
      <c r="A48" s="3" t="s">
        <v>58</v>
      </c>
      <c r="B48" s="3" t="s">
        <v>73</v>
      </c>
      <c r="C48" s="3" t="s">
        <v>73</v>
      </c>
      <c r="D48" s="2" t="s">
        <v>118</v>
      </c>
      <c r="E48" s="3" t="s">
        <v>73</v>
      </c>
      <c r="F48" s="5"/>
      <c r="G48" s="14">
        <v>137.5</v>
      </c>
      <c r="H48" s="17">
        <v>157</v>
      </c>
      <c r="I48" s="3">
        <v>79.417552917788299</v>
      </c>
      <c r="J48" s="4">
        <f t="shared" si="2"/>
        <v>0.50584428610056242</v>
      </c>
      <c r="K48" s="3">
        <v>104841.14470569149</v>
      </c>
      <c r="L48" s="17">
        <v>24.666666666666668</v>
      </c>
      <c r="M48" s="17"/>
      <c r="N48" s="6"/>
      <c r="O48" s="3"/>
      <c r="P48" s="7">
        <v>2.7543859649122808</v>
      </c>
      <c r="Q48" s="15"/>
      <c r="R48" s="7">
        <v>137.5</v>
      </c>
      <c r="S48" s="7">
        <v>137.5</v>
      </c>
      <c r="T48" s="3">
        <v>52.159308209567129</v>
      </c>
      <c r="U48" s="4">
        <f t="shared" si="3"/>
        <v>0.37934042334230639</v>
      </c>
      <c r="V48" s="3">
        <v>115325.25917626065</v>
      </c>
      <c r="W48" s="17">
        <v>24.666666666666668</v>
      </c>
      <c r="X48" s="17"/>
      <c r="Y48" s="17"/>
      <c r="Z48" s="3"/>
      <c r="AA48" s="7">
        <v>2.4122807017543861</v>
      </c>
      <c r="AC48" s="3">
        <v>137.5</v>
      </c>
      <c r="AD48" s="3">
        <v>137.5</v>
      </c>
      <c r="AE48" s="3">
        <v>52.159308209567129</v>
      </c>
      <c r="AF48" s="4">
        <v>0.37934042334230639</v>
      </c>
      <c r="AG48" s="3">
        <v>115325.25917626065</v>
      </c>
      <c r="AH48" s="17">
        <v>24.666666666666668</v>
      </c>
      <c r="AI48" s="17"/>
      <c r="AJ48" s="17"/>
      <c r="AK48" s="3"/>
      <c r="AL48" s="7">
        <v>2.4122807017543861</v>
      </c>
      <c r="AN48" s="17">
        <v>137.5</v>
      </c>
      <c r="AO48" s="17">
        <v>137.5</v>
      </c>
      <c r="AP48" s="17">
        <v>52.159308209567129</v>
      </c>
      <c r="AQ48" s="4">
        <v>0.37934042334230639</v>
      </c>
      <c r="AR48" s="3">
        <v>115325.25917626065</v>
      </c>
      <c r="AS48" s="17">
        <f t="shared" si="4"/>
        <v>24.666666666666668</v>
      </c>
      <c r="AT48" s="17"/>
      <c r="AU48" s="17"/>
      <c r="AV48" s="3"/>
      <c r="AW48" s="7">
        <v>2.4122807017543861</v>
      </c>
      <c r="AY48" s="17">
        <f t="shared" si="5"/>
        <v>550</v>
      </c>
      <c r="AZ48" s="17">
        <f t="shared" si="6"/>
        <v>569.5</v>
      </c>
      <c r="BA48" s="17">
        <f t="shared" si="7"/>
        <v>235.89547754648967</v>
      </c>
      <c r="BB48" s="4">
        <f t="shared" si="8"/>
        <v>0.41421506153905124</v>
      </c>
      <c r="BC48" s="3">
        <f t="shared" si="10"/>
        <v>112704.23055861835</v>
      </c>
      <c r="BD48" s="3">
        <f t="shared" si="11"/>
        <v>24.666666666666668</v>
      </c>
      <c r="BE48" s="3"/>
      <c r="BF48" s="3"/>
      <c r="BG48" s="7"/>
      <c r="BH48" s="7">
        <f t="shared" si="9"/>
        <v>2.4978070175438596</v>
      </c>
      <c r="BJ48" s="5" t="s">
        <v>100</v>
      </c>
      <c r="BK48" s="5" t="s">
        <v>100</v>
      </c>
      <c r="BL48" s="5" t="s">
        <v>100</v>
      </c>
      <c r="BN48" s="21">
        <f>422210/100000</f>
        <v>4.2221000000000002</v>
      </c>
      <c r="BP48">
        <f>5000000/100000</f>
        <v>50</v>
      </c>
      <c r="BR48">
        <f>1218061/100000</f>
        <v>12.18061</v>
      </c>
      <c r="BT48" s="5" t="s">
        <v>101</v>
      </c>
      <c r="BV48" t="s">
        <v>101</v>
      </c>
      <c r="BX48" s="5"/>
      <c r="BZ48" t="s">
        <v>100</v>
      </c>
    </row>
    <row r="49" spans="1:78" x14ac:dyDescent="0.35">
      <c r="A49" s="3" t="s">
        <v>59</v>
      </c>
      <c r="B49" s="3" t="s">
        <v>70</v>
      </c>
      <c r="C49" s="3" t="s">
        <v>86</v>
      </c>
      <c r="D49" s="2" t="s">
        <v>119</v>
      </c>
      <c r="E49" s="3" t="s">
        <v>2</v>
      </c>
      <c r="F49" s="5"/>
      <c r="G49" s="14">
        <v>81.63</v>
      </c>
      <c r="H49" s="17">
        <v>72</v>
      </c>
      <c r="I49" s="3">
        <v>14.43</v>
      </c>
      <c r="J49" s="4">
        <f t="shared" si="2"/>
        <v>0.20041666666666666</v>
      </c>
      <c r="K49" s="3">
        <v>101000</v>
      </c>
      <c r="L49" s="17">
        <v>19</v>
      </c>
      <c r="M49" s="17"/>
      <c r="N49" s="6"/>
      <c r="O49" s="3"/>
      <c r="P49" s="7">
        <v>1.5</v>
      </c>
      <c r="Q49" s="15"/>
      <c r="R49" s="7">
        <v>115.69</v>
      </c>
      <c r="S49" s="7">
        <v>115.69</v>
      </c>
      <c r="T49" s="3">
        <v>52.362999999999985</v>
      </c>
      <c r="U49" s="4">
        <f t="shared" si="3"/>
        <v>0.45261474630477988</v>
      </c>
      <c r="V49" s="3">
        <v>111100.00000000001</v>
      </c>
      <c r="W49" s="17">
        <v>19</v>
      </c>
      <c r="X49" s="17"/>
      <c r="Y49" s="17"/>
      <c r="Z49" s="3"/>
      <c r="AA49" s="7">
        <v>2.4102083333333333</v>
      </c>
      <c r="AC49" s="3">
        <v>122.78999999999999</v>
      </c>
      <c r="AD49" s="3">
        <v>122.78999999999999</v>
      </c>
      <c r="AE49" s="3">
        <v>59.46299999999998</v>
      </c>
      <c r="AF49" s="4">
        <v>0.48426581969215721</v>
      </c>
      <c r="AG49" s="3">
        <v>111100.00000000001</v>
      </c>
      <c r="AH49" s="17">
        <v>19</v>
      </c>
      <c r="AI49" s="17"/>
      <c r="AJ49" s="17"/>
      <c r="AK49" s="3"/>
      <c r="AL49" s="7">
        <v>2.558125</v>
      </c>
      <c r="AN49" s="17">
        <v>122.78999999999999</v>
      </c>
      <c r="AO49" s="17">
        <v>122.78999999999999</v>
      </c>
      <c r="AP49" s="17">
        <v>59.46299999999998</v>
      </c>
      <c r="AQ49" s="4">
        <v>0.48426581969215721</v>
      </c>
      <c r="AR49" s="3">
        <v>111100.00000000001</v>
      </c>
      <c r="AS49" s="17">
        <f t="shared" si="4"/>
        <v>19</v>
      </c>
      <c r="AT49" s="17"/>
      <c r="AU49" s="17"/>
      <c r="AV49" s="3"/>
      <c r="AW49" s="7">
        <v>2.558125</v>
      </c>
      <c r="AY49" s="17">
        <f t="shared" si="5"/>
        <v>442.9</v>
      </c>
      <c r="AZ49" s="17">
        <f t="shared" si="6"/>
        <v>433.27</v>
      </c>
      <c r="BA49" s="17">
        <f t="shared" si="7"/>
        <v>185.71899999999994</v>
      </c>
      <c r="BB49" s="4">
        <f t="shared" si="8"/>
        <v>0.42864495580123235</v>
      </c>
      <c r="BC49" s="3">
        <f t="shared" si="10"/>
        <v>108575</v>
      </c>
      <c r="BD49" s="3">
        <f t="shared" si="11"/>
        <v>19</v>
      </c>
      <c r="BE49" s="3"/>
      <c r="BF49" s="3"/>
      <c r="BG49" s="7"/>
      <c r="BH49" s="7">
        <f t="shared" si="9"/>
        <v>2.2566145833333335</v>
      </c>
      <c r="BJ49" s="5" t="s">
        <v>100</v>
      </c>
      <c r="BK49" s="5" t="s">
        <v>100</v>
      </c>
      <c r="BL49" s="5" t="s">
        <v>100</v>
      </c>
      <c r="BN49" s="21"/>
      <c r="BP49">
        <f>1700000/100000</f>
        <v>17</v>
      </c>
      <c r="BR49">
        <f>265500/100000</f>
        <v>2.6549999999999998</v>
      </c>
      <c r="BT49" s="5" t="s">
        <v>101</v>
      </c>
      <c r="BV49" t="s">
        <v>101</v>
      </c>
      <c r="BX49" s="5"/>
      <c r="BZ49" t="s">
        <v>100</v>
      </c>
    </row>
    <row r="50" spans="1:78" x14ac:dyDescent="0.35">
      <c r="A50" s="3" t="s">
        <v>85</v>
      </c>
      <c r="B50" s="3" t="s">
        <v>70</v>
      </c>
      <c r="C50" s="3" t="s">
        <v>92</v>
      </c>
      <c r="D50" s="2" t="s">
        <v>119</v>
      </c>
      <c r="E50" s="3" t="s">
        <v>95</v>
      </c>
      <c r="F50" s="5"/>
      <c r="G50" s="14">
        <v>21.75</v>
      </c>
      <c r="H50" s="17">
        <v>21.601290000000002</v>
      </c>
      <c r="I50" s="3">
        <v>17.561290000000003</v>
      </c>
      <c r="J50" s="4">
        <f t="shared" si="2"/>
        <v>0.81297413256337936</v>
      </c>
      <c r="K50" s="3">
        <v>101000</v>
      </c>
      <c r="L50" s="17">
        <v>1.3333333333333333</v>
      </c>
      <c r="M50" s="17"/>
      <c r="N50" s="6"/>
      <c r="O50" s="3"/>
      <c r="P50" s="7">
        <v>7.2004300000000008</v>
      </c>
      <c r="Q50" s="15"/>
      <c r="R50" s="7">
        <v>24.900000000000002</v>
      </c>
      <c r="S50" s="7">
        <v>24.900000000000002</v>
      </c>
      <c r="T50" s="3">
        <v>20.456000000000003</v>
      </c>
      <c r="U50" s="4">
        <f t="shared" si="3"/>
        <v>0.82152610441767071</v>
      </c>
      <c r="V50" s="3">
        <v>111100.00000000001</v>
      </c>
      <c r="W50" s="17">
        <v>1.3333333333333333</v>
      </c>
      <c r="X50" s="17"/>
      <c r="Y50" s="17"/>
      <c r="Z50" s="3"/>
      <c r="AA50" s="7">
        <v>8.3000000000000007</v>
      </c>
      <c r="AC50" s="3">
        <v>23.700000000000003</v>
      </c>
      <c r="AD50" s="3">
        <v>23.700000000000003</v>
      </c>
      <c r="AE50" s="3">
        <v>19.256</v>
      </c>
      <c r="AF50" s="4">
        <v>0.81248945147679319</v>
      </c>
      <c r="AG50" s="3">
        <v>111100.00000000001</v>
      </c>
      <c r="AH50" s="17">
        <v>1.3333333333333333</v>
      </c>
      <c r="AI50" s="17"/>
      <c r="AJ50" s="17"/>
      <c r="AK50" s="3"/>
      <c r="AL50" s="7">
        <v>7.9000000000000012</v>
      </c>
      <c r="AN50" s="17">
        <v>21.75</v>
      </c>
      <c r="AO50" s="17">
        <v>21.75</v>
      </c>
      <c r="AP50" s="17">
        <v>17.305999999999997</v>
      </c>
      <c r="AQ50" s="4">
        <v>0.79567816091954013</v>
      </c>
      <c r="AR50" s="3">
        <v>111100.00000000001</v>
      </c>
      <c r="AS50" s="17">
        <f t="shared" si="4"/>
        <v>1.3333333333333333</v>
      </c>
      <c r="AT50" s="17"/>
      <c r="AU50" s="17"/>
      <c r="AV50" s="3"/>
      <c r="AW50" s="7">
        <v>7.25</v>
      </c>
      <c r="AY50" s="17">
        <f t="shared" si="5"/>
        <v>92.100000000000009</v>
      </c>
      <c r="AZ50" s="17">
        <f t="shared" si="6"/>
        <v>91.951290000000014</v>
      </c>
      <c r="BA50" s="17">
        <f t="shared" si="7"/>
        <v>74.57929</v>
      </c>
      <c r="BB50" s="4">
        <f t="shared" si="8"/>
        <v>0.81107388487970089</v>
      </c>
      <c r="BC50" s="3">
        <f t="shared" si="10"/>
        <v>108575</v>
      </c>
      <c r="BD50" s="3">
        <f t="shared" si="11"/>
        <v>1.3333333333333333</v>
      </c>
      <c r="BE50" s="3"/>
      <c r="BF50" s="3"/>
      <c r="BG50" s="7"/>
      <c r="BH50" s="7">
        <f t="shared" si="9"/>
        <v>7.6626075000000009</v>
      </c>
      <c r="BJ50" s="5" t="s">
        <v>100</v>
      </c>
      <c r="BK50" s="5" t="s">
        <v>100</v>
      </c>
      <c r="BL50" s="5" t="s">
        <v>100</v>
      </c>
      <c r="BN50" s="21"/>
      <c r="BP50">
        <v>0</v>
      </c>
      <c r="BT50" s="5" t="s">
        <v>101</v>
      </c>
      <c r="BV50" t="s">
        <v>101</v>
      </c>
      <c r="BX50" s="5"/>
      <c r="BZ50" t="s">
        <v>101</v>
      </c>
    </row>
    <row r="51" spans="1:78" x14ac:dyDescent="0.35">
      <c r="A51" s="3" t="s">
        <v>30</v>
      </c>
      <c r="B51" s="3" t="s">
        <v>70</v>
      </c>
      <c r="C51" s="3" t="s">
        <v>86</v>
      </c>
      <c r="D51" s="2" t="s">
        <v>119</v>
      </c>
      <c r="E51" s="3" t="s">
        <v>2</v>
      </c>
      <c r="F51" s="5"/>
      <c r="G51" s="14">
        <v>57</v>
      </c>
      <c r="H51" s="17">
        <v>0</v>
      </c>
      <c r="I51" s="3">
        <v>-19.03593710853351</v>
      </c>
      <c r="J51" s="4">
        <f t="shared" si="2"/>
        <v>0</v>
      </c>
      <c r="K51" s="3">
        <v>105755.2061585195</v>
      </c>
      <c r="L51" s="17">
        <v>6</v>
      </c>
      <c r="M51" s="17"/>
      <c r="N51" s="6"/>
      <c r="O51" s="3"/>
      <c r="P51" s="7">
        <v>0</v>
      </c>
      <c r="Q51" s="15"/>
      <c r="R51" s="7">
        <v>109.5</v>
      </c>
      <c r="S51" s="7">
        <v>109.5</v>
      </c>
      <c r="T51" s="3">
        <v>88.56046918061314</v>
      </c>
      <c r="U51" s="4">
        <f t="shared" si="3"/>
        <v>0.8087714080421291</v>
      </c>
      <c r="V51" s="3">
        <v>116330.72677437146</v>
      </c>
      <c r="W51" s="17">
        <v>6</v>
      </c>
      <c r="X51" s="17"/>
      <c r="Y51" s="17"/>
      <c r="Z51" s="3"/>
      <c r="AA51" s="7">
        <v>9.125</v>
      </c>
      <c r="AC51" s="3">
        <v>139.5</v>
      </c>
      <c r="AD51" s="3">
        <v>139.5</v>
      </c>
      <c r="AE51" s="3">
        <v>118.56046918061314</v>
      </c>
      <c r="AF51" s="4">
        <v>0.84989583642016586</v>
      </c>
      <c r="AG51" s="3">
        <v>116330.72677437146</v>
      </c>
      <c r="AH51" s="17">
        <v>6</v>
      </c>
      <c r="AI51" s="17"/>
      <c r="AJ51" s="17"/>
      <c r="AK51" s="3"/>
      <c r="AL51" s="7">
        <v>11.625</v>
      </c>
      <c r="AN51" s="17">
        <v>139.5</v>
      </c>
      <c r="AO51" s="17">
        <v>139.5</v>
      </c>
      <c r="AP51" s="17">
        <v>118.56046918061314</v>
      </c>
      <c r="AQ51" s="4">
        <v>0.84989583642016586</v>
      </c>
      <c r="AR51" s="3">
        <v>116330.72677437146</v>
      </c>
      <c r="AS51" s="17">
        <f t="shared" si="4"/>
        <v>6</v>
      </c>
      <c r="AT51" s="17"/>
      <c r="AU51" s="17"/>
      <c r="AV51" s="3"/>
      <c r="AW51" s="7">
        <v>11.625</v>
      </c>
      <c r="AY51" s="17">
        <f t="shared" si="5"/>
        <v>445.5</v>
      </c>
      <c r="AZ51" s="17">
        <f t="shared" si="6"/>
        <v>388.5</v>
      </c>
      <c r="BA51" s="17">
        <f t="shared" si="7"/>
        <v>306.64547043330589</v>
      </c>
      <c r="BB51" s="4">
        <f t="shared" si="8"/>
        <v>0.78930623020155954</v>
      </c>
      <c r="BC51" s="3">
        <f t="shared" si="10"/>
        <v>113686.84662040847</v>
      </c>
      <c r="BD51" s="3">
        <f t="shared" si="11"/>
        <v>6</v>
      </c>
      <c r="BE51" s="3"/>
      <c r="BF51" s="3"/>
      <c r="BG51" s="7"/>
      <c r="BH51" s="7">
        <f t="shared" si="9"/>
        <v>8.09375</v>
      </c>
      <c r="BJ51" s="5" t="s">
        <v>100</v>
      </c>
      <c r="BK51" s="5" t="s">
        <v>100</v>
      </c>
      <c r="BL51" s="5" t="s">
        <v>100</v>
      </c>
      <c r="BN51" s="21"/>
      <c r="BP51">
        <v>0</v>
      </c>
      <c r="BT51" s="5" t="s">
        <v>101</v>
      </c>
      <c r="BV51" t="s">
        <v>101</v>
      </c>
      <c r="BX51" s="5"/>
      <c r="BZ51" t="s">
        <v>100</v>
      </c>
    </row>
    <row r="52" spans="1:78" x14ac:dyDescent="0.35">
      <c r="A52" s="3" t="s">
        <v>19</v>
      </c>
      <c r="B52" s="3" t="s">
        <v>70</v>
      </c>
      <c r="C52" s="3" t="s">
        <v>93</v>
      </c>
      <c r="D52" s="2" t="s">
        <v>118</v>
      </c>
      <c r="E52" s="3" t="s">
        <v>2</v>
      </c>
      <c r="F52" s="5"/>
      <c r="G52" s="14">
        <v>8</v>
      </c>
      <c r="H52" s="17">
        <v>6</v>
      </c>
      <c r="I52" s="3">
        <v>-2.3648496895126332</v>
      </c>
      <c r="J52" s="4">
        <f t="shared" si="2"/>
        <v>-0.3941416149187722</v>
      </c>
      <c r="K52" s="3">
        <v>139414.16149187722</v>
      </c>
      <c r="L52" s="17">
        <v>2</v>
      </c>
      <c r="M52" s="17"/>
      <c r="N52" s="6"/>
      <c r="O52" s="3"/>
      <c r="P52" s="7">
        <v>2</v>
      </c>
      <c r="Q52" s="15"/>
      <c r="R52" s="7">
        <v>6</v>
      </c>
      <c r="S52" s="7">
        <v>6</v>
      </c>
      <c r="T52" s="3">
        <v>-3.2013346584638978</v>
      </c>
      <c r="U52" s="4">
        <f t="shared" si="3"/>
        <v>-0.53355577641064966</v>
      </c>
      <c r="V52" s="3">
        <v>153355.57764106497</v>
      </c>
      <c r="W52" s="17">
        <v>2</v>
      </c>
      <c r="X52" s="17"/>
      <c r="Y52" s="17"/>
      <c r="Z52" s="3"/>
      <c r="AA52" s="7">
        <v>2</v>
      </c>
      <c r="AC52" s="3">
        <v>9</v>
      </c>
      <c r="AD52" s="3">
        <v>9</v>
      </c>
      <c r="AE52" s="3">
        <v>-0.20133465846389775</v>
      </c>
      <c r="AF52" s="4">
        <v>-2.2370517607099752E-2</v>
      </c>
      <c r="AG52" s="3">
        <v>153355.57764106497</v>
      </c>
      <c r="AH52" s="17">
        <v>2</v>
      </c>
      <c r="AI52" s="17"/>
      <c r="AJ52" s="17"/>
      <c r="AK52" s="3"/>
      <c r="AL52" s="7">
        <v>3</v>
      </c>
      <c r="AN52" s="17">
        <v>7</v>
      </c>
      <c r="AO52" s="17">
        <v>7</v>
      </c>
      <c r="AP52" s="17">
        <v>-2.2013346584638978</v>
      </c>
      <c r="AQ52" s="4">
        <v>-0.31447637978055681</v>
      </c>
      <c r="AR52" s="3">
        <v>153355.57764106497</v>
      </c>
      <c r="AS52" s="17">
        <f t="shared" si="4"/>
        <v>2</v>
      </c>
      <c r="AT52" s="17"/>
      <c r="AU52" s="17"/>
      <c r="AV52" s="3"/>
      <c r="AW52" s="7">
        <v>2.3333333333333335</v>
      </c>
      <c r="AY52" s="17">
        <f t="shared" si="5"/>
        <v>30</v>
      </c>
      <c r="AZ52" s="17">
        <f t="shared" si="6"/>
        <v>28</v>
      </c>
      <c r="BA52" s="17">
        <f t="shared" si="7"/>
        <v>-7.9688536649043265</v>
      </c>
      <c r="BB52" s="4">
        <f t="shared" si="8"/>
        <v>-0.28460191660372597</v>
      </c>
      <c r="BC52" s="3">
        <f t="shared" si="10"/>
        <v>149870.22360376804</v>
      </c>
      <c r="BD52" s="3">
        <f t="shared" si="11"/>
        <v>2</v>
      </c>
      <c r="BE52" s="3"/>
      <c r="BF52" s="3"/>
      <c r="BG52" s="7"/>
      <c r="BH52" s="7">
        <f t="shared" si="9"/>
        <v>2.3333333333333335</v>
      </c>
      <c r="BJ52" s="5" t="s">
        <v>100</v>
      </c>
      <c r="BK52" s="5" t="s">
        <v>100</v>
      </c>
      <c r="BL52" s="5" t="s">
        <v>100</v>
      </c>
      <c r="BN52" s="21"/>
      <c r="BP52">
        <v>0</v>
      </c>
      <c r="BT52" s="5" t="s">
        <v>101</v>
      </c>
      <c r="BV52" t="s">
        <v>101</v>
      </c>
      <c r="BX52" s="5"/>
      <c r="BZ52" t="s">
        <v>101</v>
      </c>
    </row>
    <row r="53" spans="1:78" x14ac:dyDescent="0.35">
      <c r="A53" s="3" t="s">
        <v>61</v>
      </c>
      <c r="B53" s="3" t="s">
        <v>70</v>
      </c>
      <c r="C53" s="3" t="s">
        <v>93</v>
      </c>
      <c r="D53" s="2" t="s">
        <v>118</v>
      </c>
      <c r="E53" s="3" t="s">
        <v>2</v>
      </c>
      <c r="F53" s="5"/>
      <c r="G53" s="14">
        <v>1</v>
      </c>
      <c r="H53" s="17">
        <v>0</v>
      </c>
      <c r="I53" s="3">
        <v>0</v>
      </c>
      <c r="J53" s="4">
        <f t="shared" si="2"/>
        <v>0</v>
      </c>
      <c r="K53" s="3">
        <v>121584.75193965515</v>
      </c>
      <c r="L53" s="17">
        <v>0</v>
      </c>
      <c r="M53" s="17"/>
      <c r="N53" s="6"/>
      <c r="O53" s="3"/>
      <c r="P53" s="7">
        <v>0</v>
      </c>
      <c r="Q53" s="15"/>
      <c r="R53" s="7">
        <v>1</v>
      </c>
      <c r="S53" s="7">
        <v>1</v>
      </c>
      <c r="T53" s="3">
        <v>1</v>
      </c>
      <c r="U53" s="4">
        <f t="shared" si="3"/>
        <v>1</v>
      </c>
      <c r="V53" s="3">
        <v>133743.22713362068</v>
      </c>
      <c r="W53" s="17">
        <v>0</v>
      </c>
      <c r="X53" s="17"/>
      <c r="Y53" s="17"/>
      <c r="Z53" s="3"/>
      <c r="AA53" s="7">
        <v>0.15873015873015872</v>
      </c>
      <c r="AC53" s="3">
        <v>1</v>
      </c>
      <c r="AD53" s="3">
        <v>1</v>
      </c>
      <c r="AE53" s="3">
        <v>1</v>
      </c>
      <c r="AF53" s="4">
        <v>1</v>
      </c>
      <c r="AG53" s="3">
        <v>133743.22713362068</v>
      </c>
      <c r="AH53" s="17">
        <v>0</v>
      </c>
      <c r="AI53" s="17"/>
      <c r="AJ53" s="17"/>
      <c r="AK53" s="3"/>
      <c r="AL53" s="7">
        <v>0.15873015873015872</v>
      </c>
      <c r="AN53" s="17">
        <v>2</v>
      </c>
      <c r="AO53" s="17">
        <v>2</v>
      </c>
      <c r="AP53" s="17">
        <v>2</v>
      </c>
      <c r="AQ53" s="4">
        <v>1</v>
      </c>
      <c r="AR53" s="3">
        <v>133743.22713362068</v>
      </c>
      <c r="AS53" s="17">
        <f t="shared" si="4"/>
        <v>0</v>
      </c>
      <c r="AT53" s="17"/>
      <c r="AU53" s="17"/>
      <c r="AV53" s="3"/>
      <c r="AW53" s="7">
        <v>0.31746031746031744</v>
      </c>
      <c r="AY53" s="17">
        <f t="shared" si="5"/>
        <v>5</v>
      </c>
      <c r="AZ53" s="17">
        <f t="shared" si="6"/>
        <v>4</v>
      </c>
      <c r="BA53" s="17">
        <f t="shared" si="7"/>
        <v>4</v>
      </c>
      <c r="BB53" s="4">
        <f t="shared" si="8"/>
        <v>1</v>
      </c>
      <c r="BC53" s="3">
        <f t="shared" si="10"/>
        <v>130703.60833512928</v>
      </c>
      <c r="BD53" s="3">
        <f t="shared" si="11"/>
        <v>0</v>
      </c>
      <c r="BE53" s="3"/>
      <c r="BF53" s="3"/>
      <c r="BG53" s="7"/>
      <c r="BH53" s="7">
        <f t="shared" si="9"/>
        <v>0.15873015873015872</v>
      </c>
      <c r="BJ53" s="5" t="s">
        <v>100</v>
      </c>
      <c r="BK53" s="5" t="s">
        <v>100</v>
      </c>
      <c r="BL53" s="5" t="s">
        <v>100</v>
      </c>
      <c r="BN53" s="21"/>
      <c r="BP53">
        <v>0</v>
      </c>
      <c r="BT53" s="5" t="s">
        <v>101</v>
      </c>
      <c r="BV53" t="s">
        <v>101</v>
      </c>
      <c r="BX53" s="5"/>
      <c r="BZ53" t="s">
        <v>101</v>
      </c>
    </row>
    <row r="54" spans="1:78" x14ac:dyDescent="0.35">
      <c r="A54" s="3" t="s">
        <v>62</v>
      </c>
      <c r="B54" s="3" t="s">
        <v>83</v>
      </c>
      <c r="C54" s="3" t="s">
        <v>93</v>
      </c>
      <c r="D54" s="2" t="s">
        <v>118</v>
      </c>
      <c r="E54" s="3" t="s">
        <v>71</v>
      </c>
      <c r="F54" s="5"/>
      <c r="G54" s="14">
        <v>0</v>
      </c>
      <c r="H54" s="17">
        <v>0</v>
      </c>
      <c r="I54" s="3">
        <v>0</v>
      </c>
      <c r="J54" s="4">
        <f t="shared" si="2"/>
        <v>0</v>
      </c>
      <c r="K54" s="3">
        <v>0</v>
      </c>
      <c r="L54" s="17">
        <v>0</v>
      </c>
      <c r="M54" s="17"/>
      <c r="N54" s="6"/>
      <c r="O54" s="3"/>
      <c r="P54" s="7">
        <v>0</v>
      </c>
      <c r="Q54" s="15"/>
      <c r="R54" s="7">
        <v>0</v>
      </c>
      <c r="S54" s="7">
        <v>0</v>
      </c>
      <c r="T54" s="3">
        <v>0</v>
      </c>
      <c r="U54" s="4">
        <f t="shared" si="3"/>
        <v>0</v>
      </c>
      <c r="V54" s="3">
        <v>0</v>
      </c>
      <c r="W54" s="17">
        <v>0</v>
      </c>
      <c r="X54" s="17"/>
      <c r="Y54" s="17"/>
      <c r="Z54" s="3"/>
      <c r="AA54" s="7">
        <v>0</v>
      </c>
      <c r="AC54" s="3">
        <v>0</v>
      </c>
      <c r="AD54" s="3">
        <v>0</v>
      </c>
      <c r="AE54" s="3">
        <v>0</v>
      </c>
      <c r="AF54" s="4">
        <v>0</v>
      </c>
      <c r="AG54" s="3">
        <v>0</v>
      </c>
      <c r="AH54" s="17">
        <v>0</v>
      </c>
      <c r="AI54" s="17"/>
      <c r="AJ54" s="17"/>
      <c r="AK54" s="3"/>
      <c r="AL54" s="7">
        <v>0</v>
      </c>
      <c r="AN54" s="17">
        <v>0</v>
      </c>
      <c r="AO54" s="17">
        <v>0</v>
      </c>
      <c r="AP54" s="17">
        <v>0</v>
      </c>
      <c r="AQ54" s="4">
        <v>0</v>
      </c>
      <c r="AR54" s="3">
        <v>0</v>
      </c>
      <c r="AS54" s="17">
        <f t="shared" si="4"/>
        <v>0</v>
      </c>
      <c r="AT54" s="17"/>
      <c r="AU54" s="17"/>
      <c r="AV54" s="3"/>
      <c r="AW54" s="7">
        <v>0</v>
      </c>
      <c r="AY54" s="17">
        <f t="shared" si="5"/>
        <v>0</v>
      </c>
      <c r="AZ54" s="17">
        <f t="shared" si="6"/>
        <v>0</v>
      </c>
      <c r="BA54" s="17">
        <f t="shared" si="7"/>
        <v>0</v>
      </c>
      <c r="BB54" s="4">
        <f t="shared" si="8"/>
        <v>0</v>
      </c>
      <c r="BC54" s="3">
        <f t="shared" si="10"/>
        <v>0</v>
      </c>
      <c r="BD54" s="3">
        <f t="shared" si="11"/>
        <v>0</v>
      </c>
      <c r="BE54" s="3"/>
      <c r="BF54" s="3"/>
      <c r="BG54" s="7"/>
      <c r="BH54" s="7">
        <f t="shared" si="9"/>
        <v>0</v>
      </c>
      <c r="BJ54" s="5" t="s">
        <v>100</v>
      </c>
      <c r="BK54" s="5" t="s">
        <v>100</v>
      </c>
      <c r="BL54" s="5" t="s">
        <v>100</v>
      </c>
      <c r="BN54" s="21"/>
      <c r="BP54">
        <v>0</v>
      </c>
      <c r="BT54" s="5" t="s">
        <v>101</v>
      </c>
      <c r="BV54" t="s">
        <v>101</v>
      </c>
      <c r="BX54" s="5"/>
      <c r="BZ54" t="s">
        <v>101</v>
      </c>
    </row>
    <row r="55" spans="1:78" x14ac:dyDescent="0.35">
      <c r="A55" s="3" t="s">
        <v>65</v>
      </c>
      <c r="B55" s="3" t="s">
        <v>70</v>
      </c>
      <c r="C55" s="3" t="s">
        <v>92</v>
      </c>
      <c r="D55" s="2" t="s">
        <v>119</v>
      </c>
      <c r="E55" s="3" t="s">
        <v>95</v>
      </c>
      <c r="F55" s="5"/>
      <c r="G55" s="14">
        <v>60.514180000000003</v>
      </c>
      <c r="H55" s="17">
        <v>12.75</v>
      </c>
      <c r="I55" s="3">
        <v>-19.727263363801356</v>
      </c>
      <c r="J55" s="4">
        <f t="shared" si="2"/>
        <v>-1.5472363422589299</v>
      </c>
      <c r="K55" s="3">
        <v>50745.724005939614</v>
      </c>
      <c r="L55" s="17">
        <v>21.333333333333332</v>
      </c>
      <c r="M55" s="17"/>
      <c r="N55" s="6"/>
      <c r="O55" s="3"/>
      <c r="P55" s="7">
        <v>0.21039603960396042</v>
      </c>
      <c r="Q55" s="15"/>
      <c r="R55" s="7">
        <v>130.62295999999998</v>
      </c>
      <c r="S55" s="7">
        <v>130.62295999999998</v>
      </c>
      <c r="T55" s="3">
        <v>94.897970299818496</v>
      </c>
      <c r="U55" s="4">
        <f t="shared" si="3"/>
        <v>0.72650298461938478</v>
      </c>
      <c r="V55" s="3">
        <v>55820.296406533576</v>
      </c>
      <c r="W55" s="17">
        <v>21.333333333333332</v>
      </c>
      <c r="X55" s="17"/>
      <c r="Y55" s="17"/>
      <c r="Z55" s="3"/>
      <c r="AA55" s="7">
        <v>2.1554943894389438</v>
      </c>
      <c r="AC55" s="3">
        <v>149.51603</v>
      </c>
      <c r="AD55" s="3">
        <v>149.51603</v>
      </c>
      <c r="AE55" s="3">
        <v>113.79104029981852</v>
      </c>
      <c r="AF55" s="4">
        <v>0.76106247804879867</v>
      </c>
      <c r="AG55" s="3">
        <v>55820.296406533576</v>
      </c>
      <c r="AH55" s="17">
        <v>21.333333333333332</v>
      </c>
      <c r="AI55" s="17"/>
      <c r="AJ55" s="17"/>
      <c r="AK55" s="3"/>
      <c r="AL55" s="7">
        <v>2.4672612211221123</v>
      </c>
      <c r="AN55" s="17">
        <v>193.60619</v>
      </c>
      <c r="AO55" s="17">
        <v>193.60619</v>
      </c>
      <c r="AP55" s="17">
        <v>157.88120029981852</v>
      </c>
      <c r="AQ55" s="4">
        <v>0.81547599433581397</v>
      </c>
      <c r="AR55" s="3">
        <v>55820.296406533576</v>
      </c>
      <c r="AS55" s="17">
        <f t="shared" si="4"/>
        <v>21.333333333333332</v>
      </c>
      <c r="AT55" s="17"/>
      <c r="AU55" s="17"/>
      <c r="AV55" s="3"/>
      <c r="AW55" s="7">
        <v>3.1948216171617165</v>
      </c>
      <c r="AY55" s="17">
        <f t="shared" si="5"/>
        <v>534.25936000000002</v>
      </c>
      <c r="AZ55" s="17">
        <f t="shared" si="6"/>
        <v>486.49518</v>
      </c>
      <c r="BA55" s="17">
        <f t="shared" si="7"/>
        <v>346.84294753565422</v>
      </c>
      <c r="BB55" s="4">
        <f t="shared" si="8"/>
        <v>0.7129422074349312</v>
      </c>
      <c r="BC55" s="3">
        <f t="shared" si="10"/>
        <v>54551.65330638508</v>
      </c>
      <c r="BD55" s="3">
        <f t="shared" si="11"/>
        <v>21.333333333333332</v>
      </c>
      <c r="BE55" s="3"/>
      <c r="BF55" s="3"/>
      <c r="BG55" s="7"/>
      <c r="BH55" s="7">
        <f t="shared" si="9"/>
        <v>2.0069933168316831</v>
      </c>
      <c r="BJ55" s="5" t="s">
        <v>100</v>
      </c>
      <c r="BK55" s="5" t="s">
        <v>100</v>
      </c>
      <c r="BL55" s="5" t="s">
        <v>100</v>
      </c>
      <c r="BN55" s="21"/>
      <c r="BP55">
        <v>0</v>
      </c>
      <c r="BT55" s="5" t="s">
        <v>101</v>
      </c>
      <c r="BV55" t="s">
        <v>101</v>
      </c>
      <c r="BX55" s="5"/>
      <c r="BZ55" t="s">
        <v>100</v>
      </c>
    </row>
    <row r="56" spans="1:78" x14ac:dyDescent="0.35">
      <c r="A56" s="3" t="s">
        <v>66</v>
      </c>
      <c r="B56" s="3" t="s">
        <v>66</v>
      </c>
      <c r="C56" s="3" t="s">
        <v>66</v>
      </c>
      <c r="D56" s="2" t="s">
        <v>118</v>
      </c>
      <c r="E56" s="3" t="s">
        <v>66</v>
      </c>
      <c r="F56" s="5"/>
      <c r="G56" s="14">
        <v>36.664500000000004</v>
      </c>
      <c r="H56" s="17">
        <v>3.7710600000000003</v>
      </c>
      <c r="I56" s="3">
        <v>1.3470600000000004</v>
      </c>
      <c r="J56" s="4">
        <f t="shared" si="2"/>
        <v>0.3572099091502125</v>
      </c>
      <c r="K56" s="3">
        <v>101000</v>
      </c>
      <c r="L56" s="17">
        <v>0.79999999999999993</v>
      </c>
      <c r="M56" s="17"/>
      <c r="N56" s="6"/>
      <c r="O56" s="3"/>
      <c r="P56" s="7">
        <v>0</v>
      </c>
      <c r="Q56" s="15"/>
      <c r="R56" s="7">
        <v>24</v>
      </c>
      <c r="S56" s="7">
        <v>24</v>
      </c>
      <c r="T56" s="3">
        <v>21.333600000000001</v>
      </c>
      <c r="U56" s="4">
        <f t="shared" si="3"/>
        <v>0.88890000000000002</v>
      </c>
      <c r="V56" s="3">
        <v>111100.00000000001</v>
      </c>
      <c r="W56" s="17">
        <v>0.79999999999999993</v>
      </c>
      <c r="X56" s="17"/>
      <c r="Y56" s="17"/>
      <c r="Z56" s="3"/>
      <c r="AA56" s="7">
        <v>0</v>
      </c>
      <c r="AC56" s="3">
        <v>40</v>
      </c>
      <c r="AD56" s="3">
        <v>40</v>
      </c>
      <c r="AE56" s="3">
        <v>37.333599999999997</v>
      </c>
      <c r="AF56" s="4">
        <v>0.93333999999999995</v>
      </c>
      <c r="AG56" s="3">
        <v>111100.00000000001</v>
      </c>
      <c r="AH56" s="17">
        <v>0.79999999999999993</v>
      </c>
      <c r="AI56" s="17"/>
      <c r="AJ56" s="17"/>
      <c r="AK56" s="3"/>
      <c r="AL56" s="7">
        <v>0</v>
      </c>
      <c r="AN56" s="17">
        <v>50</v>
      </c>
      <c r="AO56" s="17">
        <v>50</v>
      </c>
      <c r="AP56" s="17">
        <v>47.333599999999997</v>
      </c>
      <c r="AQ56" s="4">
        <v>0.94667199999999996</v>
      </c>
      <c r="AR56" s="3">
        <v>111100.00000000001</v>
      </c>
      <c r="AS56" s="17">
        <f t="shared" si="4"/>
        <v>0.79999999999999993</v>
      </c>
      <c r="AT56" s="17"/>
      <c r="AU56" s="17"/>
      <c r="AV56" s="3"/>
      <c r="AW56" s="7">
        <v>0</v>
      </c>
      <c r="AY56" s="17">
        <f t="shared" si="5"/>
        <v>150.6645</v>
      </c>
      <c r="AZ56" s="17">
        <f t="shared" si="6"/>
        <v>117.77106000000001</v>
      </c>
      <c r="BA56" s="17">
        <f t="shared" si="7"/>
        <v>107.34786</v>
      </c>
      <c r="BB56" s="4">
        <f t="shared" si="8"/>
        <v>0.91149608401248994</v>
      </c>
      <c r="BC56" s="3">
        <f t="shared" si="10"/>
        <v>108575</v>
      </c>
      <c r="BD56" s="3">
        <f t="shared" si="11"/>
        <v>0.79999999999999993</v>
      </c>
      <c r="BE56" s="3"/>
      <c r="BF56" s="3"/>
      <c r="BG56" s="7"/>
      <c r="BH56" s="7">
        <f t="shared" si="9"/>
        <v>0</v>
      </c>
      <c r="BJ56" s="5" t="s">
        <v>100</v>
      </c>
      <c r="BK56" s="5" t="s">
        <v>100</v>
      </c>
      <c r="BL56" s="5" t="s">
        <v>100</v>
      </c>
      <c r="BN56" s="21"/>
      <c r="BP56">
        <v>0</v>
      </c>
      <c r="BR56">
        <f>175278/100000</f>
        <v>1.75278</v>
      </c>
      <c r="BT56" s="5" t="s">
        <v>101</v>
      </c>
      <c r="BV56" t="s">
        <v>101</v>
      </c>
      <c r="BX56" s="5"/>
      <c r="BZ56" t="s">
        <v>101</v>
      </c>
    </row>
    <row r="57" spans="1:78" x14ac:dyDescent="0.35">
      <c r="A57" s="3" t="s">
        <v>67</v>
      </c>
      <c r="B57" s="3" t="s">
        <v>67</v>
      </c>
      <c r="C57" s="3" t="s">
        <v>67</v>
      </c>
      <c r="D57" s="2" t="s">
        <v>118</v>
      </c>
      <c r="E57" s="3" t="s">
        <v>67</v>
      </c>
      <c r="F57" s="5"/>
      <c r="G57" s="14">
        <v>17.4129</v>
      </c>
      <c r="H57" s="17">
        <v>0</v>
      </c>
      <c r="I57" s="3">
        <v>-4.4817665956779305</v>
      </c>
      <c r="J57" s="4">
        <f t="shared" si="2"/>
        <v>0</v>
      </c>
      <c r="K57" s="3">
        <v>448176.65956779307</v>
      </c>
      <c r="L57" s="17">
        <v>0.33333333333333331</v>
      </c>
      <c r="M57" s="17"/>
      <c r="N57" s="6"/>
      <c r="O57" s="3"/>
      <c r="P57" s="7">
        <v>0</v>
      </c>
      <c r="Q57" s="15"/>
      <c r="R57" s="7">
        <v>64</v>
      </c>
      <c r="S57" s="7">
        <v>64</v>
      </c>
      <c r="T57" s="3">
        <v>59.070056744754275</v>
      </c>
      <c r="U57" s="4">
        <f t="shared" si="3"/>
        <v>0.92296963663678555</v>
      </c>
      <c r="V57" s="3">
        <v>492994.3255245724</v>
      </c>
      <c r="W57" s="17">
        <v>0.33333333333333331</v>
      </c>
      <c r="X57" s="17"/>
      <c r="Y57" s="17"/>
      <c r="Z57" s="3"/>
      <c r="AA57" s="7">
        <v>0</v>
      </c>
      <c r="AC57" s="3">
        <v>118</v>
      </c>
      <c r="AD57" s="3">
        <v>118</v>
      </c>
      <c r="AE57" s="3">
        <v>113.07005674475428</v>
      </c>
      <c r="AF57" s="4">
        <v>0.95822081987079899</v>
      </c>
      <c r="AG57" s="3">
        <v>492994.3255245724</v>
      </c>
      <c r="AH57" s="17">
        <v>0.33333333333333331</v>
      </c>
      <c r="AI57" s="17"/>
      <c r="AJ57" s="17"/>
      <c r="AK57" s="3"/>
      <c r="AL57" s="7">
        <v>0</v>
      </c>
      <c r="AN57" s="17">
        <v>150</v>
      </c>
      <c r="AO57" s="17">
        <v>150</v>
      </c>
      <c r="AP57" s="17">
        <v>145.07005674475428</v>
      </c>
      <c r="AQ57" s="4">
        <v>0.96713371163169526</v>
      </c>
      <c r="AR57" s="3">
        <v>492994.3255245724</v>
      </c>
      <c r="AS57" s="17">
        <f t="shared" si="4"/>
        <v>0.33333333333333331</v>
      </c>
      <c r="AT57" s="17"/>
      <c r="AU57" s="17"/>
      <c r="AV57" s="3"/>
      <c r="AW57" s="7">
        <v>0</v>
      </c>
      <c r="AY57" s="17">
        <f t="shared" si="5"/>
        <v>349.41289999999998</v>
      </c>
      <c r="AZ57" s="17">
        <f t="shared" si="6"/>
        <v>332</v>
      </c>
      <c r="BA57" s="17">
        <f t="shared" si="7"/>
        <v>312.72840363858489</v>
      </c>
      <c r="BB57" s="4">
        <f t="shared" si="8"/>
        <v>0.94195302300778583</v>
      </c>
      <c r="BC57" s="3">
        <f t="shared" si="10"/>
        <v>481789.90903537755</v>
      </c>
      <c r="BD57" s="3">
        <f t="shared" si="11"/>
        <v>0.33333333333333331</v>
      </c>
      <c r="BE57" s="3"/>
      <c r="BF57" s="3"/>
      <c r="BG57" s="7"/>
      <c r="BH57" s="7">
        <f t="shared" si="9"/>
        <v>0</v>
      </c>
      <c r="BJ57" s="5" t="s">
        <v>100</v>
      </c>
      <c r="BK57" s="5" t="s">
        <v>100</v>
      </c>
      <c r="BL57" s="5" t="s">
        <v>100</v>
      </c>
      <c r="BN57" s="21"/>
      <c r="BP57">
        <v>0</v>
      </c>
      <c r="BT57" s="5" t="s">
        <v>101</v>
      </c>
      <c r="BV57" t="s">
        <v>101</v>
      </c>
      <c r="BX57" s="5"/>
      <c r="BZ57" t="s">
        <v>101</v>
      </c>
    </row>
    <row r="58" spans="1:78" x14ac:dyDescent="0.35">
      <c r="A58" s="16" t="s">
        <v>96</v>
      </c>
      <c r="B58" s="16" t="s">
        <v>70</v>
      </c>
      <c r="C58" s="16" t="s">
        <v>86</v>
      </c>
      <c r="D58" s="2" t="s">
        <v>119</v>
      </c>
      <c r="E58" s="16" t="s">
        <v>2</v>
      </c>
      <c r="G58" s="3">
        <v>0</v>
      </c>
      <c r="H58" s="17">
        <v>4</v>
      </c>
      <c r="I58" s="3">
        <v>0.85000000000000009</v>
      </c>
      <c r="J58" s="4">
        <f t="shared" si="2"/>
        <v>0.21250000000000002</v>
      </c>
      <c r="K58" s="3">
        <v>90000</v>
      </c>
      <c r="L58" s="17">
        <v>1.1666666666666667</v>
      </c>
      <c r="M58" s="17"/>
      <c r="N58" s="6"/>
      <c r="O58" s="3"/>
      <c r="P58" s="7">
        <v>0.38095238095238093</v>
      </c>
      <c r="Q58" s="15"/>
      <c r="R58" s="3"/>
      <c r="S58" s="3"/>
      <c r="T58" s="3"/>
      <c r="U58" s="4">
        <f t="shared" si="3"/>
        <v>0</v>
      </c>
      <c r="V58" s="3"/>
      <c r="W58" s="17">
        <v>0</v>
      </c>
      <c r="X58" s="17"/>
      <c r="Y58" s="17"/>
      <c r="Z58" s="3"/>
      <c r="AA58" s="7">
        <v>0</v>
      </c>
      <c r="AC58" s="3"/>
      <c r="AD58" s="3"/>
      <c r="AE58" s="3"/>
      <c r="AF58" s="4"/>
      <c r="AG58" s="3"/>
      <c r="AH58" s="17">
        <v>0</v>
      </c>
      <c r="AI58" s="17"/>
      <c r="AJ58" s="17"/>
      <c r="AK58" s="3"/>
      <c r="AL58" s="7">
        <v>0</v>
      </c>
      <c r="AN58" s="8"/>
      <c r="AO58" s="8"/>
      <c r="AP58" s="17">
        <v>0</v>
      </c>
      <c r="AQ58" s="4">
        <v>0</v>
      </c>
      <c r="AR58" s="3">
        <v>99000.000000000015</v>
      </c>
      <c r="AS58" s="17">
        <f t="shared" si="4"/>
        <v>0</v>
      </c>
      <c r="AT58" s="17"/>
      <c r="AU58" s="17"/>
      <c r="AV58" s="8"/>
      <c r="AW58" s="7">
        <v>0</v>
      </c>
      <c r="AY58" s="17">
        <f t="shared" si="5"/>
        <v>0</v>
      </c>
      <c r="AZ58" s="17">
        <f t="shared" si="6"/>
        <v>4</v>
      </c>
      <c r="BA58" s="17">
        <f t="shared" si="7"/>
        <v>0.85000000000000009</v>
      </c>
      <c r="BB58" s="4">
        <f t="shared" si="8"/>
        <v>0.21250000000000002</v>
      </c>
      <c r="BC58" s="3">
        <f t="shared" si="10"/>
        <v>94500</v>
      </c>
      <c r="BD58" s="3">
        <f t="shared" si="11"/>
        <v>0.29166666666666669</v>
      </c>
      <c r="BE58" s="5"/>
      <c r="BF58" s="5"/>
      <c r="BG58" s="7"/>
      <c r="BH58" s="7">
        <f t="shared" si="9"/>
        <v>9.5238095238095233E-2</v>
      </c>
      <c r="BJ58" s="5" t="s">
        <v>100</v>
      </c>
      <c r="BK58" s="5" t="s">
        <v>100</v>
      </c>
      <c r="BL58" s="5" t="s">
        <v>100</v>
      </c>
      <c r="BN58" s="21"/>
      <c r="BP58">
        <v>0</v>
      </c>
      <c r="BT58" s="5" t="s">
        <v>101</v>
      </c>
      <c r="BV58" t="s">
        <v>101</v>
      </c>
      <c r="BX58" s="5"/>
      <c r="BZ58" t="s">
        <v>101</v>
      </c>
    </row>
    <row r="59" spans="1:78" x14ac:dyDescent="0.35">
      <c r="A59" s="16" t="s">
        <v>97</v>
      </c>
      <c r="B59" s="16" t="s">
        <v>70</v>
      </c>
      <c r="C59" s="16" t="s">
        <v>86</v>
      </c>
      <c r="D59" s="2" t="s">
        <v>119</v>
      </c>
      <c r="E59" s="16" t="s">
        <v>2</v>
      </c>
      <c r="G59" s="3">
        <v>0</v>
      </c>
      <c r="H59" s="17">
        <v>5.25</v>
      </c>
      <c r="I59" s="3">
        <v>3.7199999999999998</v>
      </c>
      <c r="J59" s="4">
        <f t="shared" si="2"/>
        <v>0.70857142857142852</v>
      </c>
      <c r="K59" s="3">
        <v>90000</v>
      </c>
      <c r="L59" s="17">
        <v>0.56666666666666665</v>
      </c>
      <c r="M59" s="17"/>
      <c r="N59" s="6"/>
      <c r="O59" s="3"/>
      <c r="P59" s="7">
        <v>1.2500000000000002</v>
      </c>
      <c r="Q59" s="15"/>
      <c r="R59" s="3"/>
      <c r="S59" s="3"/>
      <c r="T59" s="3"/>
      <c r="U59" s="4">
        <f t="shared" si="3"/>
        <v>0</v>
      </c>
      <c r="V59" s="3"/>
      <c r="W59" s="17">
        <v>0</v>
      </c>
      <c r="X59" s="17"/>
      <c r="Y59" s="17"/>
      <c r="Z59" s="3"/>
      <c r="AA59" s="7">
        <v>0</v>
      </c>
      <c r="AC59" s="3"/>
      <c r="AD59" s="3"/>
      <c r="AE59" s="3"/>
      <c r="AF59" s="4"/>
      <c r="AG59" s="3"/>
      <c r="AH59" s="17">
        <v>0</v>
      </c>
      <c r="AI59" s="17"/>
      <c r="AJ59" s="17"/>
      <c r="AK59" s="3"/>
      <c r="AL59" s="7">
        <v>0</v>
      </c>
      <c r="AN59" s="8"/>
      <c r="AO59" s="8"/>
      <c r="AP59" s="17">
        <v>0</v>
      </c>
      <c r="AQ59" s="4">
        <v>0</v>
      </c>
      <c r="AR59" s="3">
        <v>99000.000000000015</v>
      </c>
      <c r="AS59" s="17">
        <f t="shared" si="4"/>
        <v>0</v>
      </c>
      <c r="AT59" s="17"/>
      <c r="AU59" s="17"/>
      <c r="AV59" s="8"/>
      <c r="AW59" s="7">
        <v>0</v>
      </c>
      <c r="AY59" s="17">
        <f t="shared" si="5"/>
        <v>0</v>
      </c>
      <c r="AZ59" s="17">
        <f t="shared" si="6"/>
        <v>5.25</v>
      </c>
      <c r="BA59" s="17">
        <f t="shared" si="7"/>
        <v>3.7199999999999998</v>
      </c>
      <c r="BB59" s="4">
        <f t="shared" si="8"/>
        <v>0.70857142857142852</v>
      </c>
      <c r="BC59" s="3">
        <f t="shared" si="10"/>
        <v>94500</v>
      </c>
      <c r="BD59" s="3">
        <f t="shared" si="11"/>
        <v>0.14166666666666666</v>
      </c>
      <c r="BE59" s="5"/>
      <c r="BF59" s="5"/>
      <c r="BG59" s="7"/>
      <c r="BH59" s="7">
        <f t="shared" si="9"/>
        <v>0.31250000000000006</v>
      </c>
      <c r="BJ59" s="5" t="s">
        <v>100</v>
      </c>
      <c r="BK59" s="5" t="s">
        <v>100</v>
      </c>
      <c r="BL59" s="5" t="s">
        <v>100</v>
      </c>
      <c r="BN59" s="21"/>
      <c r="BP59">
        <f>175000/100000</f>
        <v>1.75</v>
      </c>
      <c r="BT59" s="5" t="s">
        <v>101</v>
      </c>
      <c r="BV59" t="s">
        <v>101</v>
      </c>
      <c r="BX59" s="5"/>
      <c r="BZ59" t="s">
        <v>101</v>
      </c>
    </row>
    <row r="60" spans="1:78" x14ac:dyDescent="0.35">
      <c r="A60" s="16" t="s">
        <v>120</v>
      </c>
      <c r="B60" s="16" t="s">
        <v>121</v>
      </c>
      <c r="C60" s="16" t="s">
        <v>121</v>
      </c>
      <c r="D60" s="2" t="s">
        <v>119</v>
      </c>
      <c r="E60" s="16" t="s">
        <v>121</v>
      </c>
      <c r="G60" s="23">
        <v>217</v>
      </c>
      <c r="H60" s="24">
        <v>0</v>
      </c>
      <c r="I60" s="16">
        <v>0</v>
      </c>
      <c r="J60" s="25">
        <f t="shared" si="2"/>
        <v>0</v>
      </c>
      <c r="K60" s="16">
        <v>0</v>
      </c>
      <c r="L60" s="24">
        <v>0</v>
      </c>
      <c r="M60" s="17"/>
      <c r="R60">
        <v>575.60266666666666</v>
      </c>
      <c r="W60">
        <v>0</v>
      </c>
      <c r="X60" s="17"/>
      <c r="AC60">
        <v>742.6486666666666</v>
      </c>
      <c r="AH60">
        <v>0</v>
      </c>
      <c r="AI60" s="17"/>
      <c r="AN60">
        <v>995.74866666666662</v>
      </c>
      <c r="AY60" s="17">
        <f t="shared" si="5"/>
        <v>2531</v>
      </c>
      <c r="AZ60" s="17">
        <f t="shared" si="5"/>
        <v>0</v>
      </c>
      <c r="BA60" s="18"/>
      <c r="BB60" s="22"/>
      <c r="BD60" s="18"/>
      <c r="BH60" s="7"/>
    </row>
    <row r="61" spans="1:78" x14ac:dyDescent="0.35">
      <c r="G61" s="18"/>
      <c r="H61" s="18"/>
      <c r="I61" s="18"/>
      <c r="R61" s="18"/>
      <c r="S61" s="18"/>
      <c r="T61" s="18"/>
      <c r="AD61" s="18">
        <f>SUM(AD3:AD59)</f>
        <v>3050.4382926999997</v>
      </c>
      <c r="AE61" s="18">
        <f>SUM(AE3:AE59)</f>
        <v>1111.0013699458748</v>
      </c>
      <c r="AO61" s="18"/>
    </row>
  </sheetData>
  <mergeCells count="6">
    <mergeCell ref="BJ1:BL1"/>
    <mergeCell ref="G1:P1"/>
    <mergeCell ref="R1:AA1"/>
    <mergeCell ref="AC1:AL1"/>
    <mergeCell ref="AN1:AW1"/>
    <mergeCell ref="AY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2026-05-08T03:40:29Z</dcterms:created>
  <dcterms:modified xsi:type="dcterms:W3CDTF">2026-05-17T08:53:56Z</dcterms:modified>
</cp:coreProperties>
</file>