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437" documentId="8_{231760F8-40C3-4E52-9138-CD9DD8E2170C}" xr6:coauthVersionLast="47" xr6:coauthVersionMax="47" xr10:uidLastSave="{8F8AC8EA-1D49-4A46-9C35-B893FDC60E46}"/>
  <bookViews>
    <workbookView xWindow="-110" yWindow="-110" windowWidth="19420" windowHeight="11500" xr2:uid="{F2C8E0B5-D69E-42FC-A0A4-20379F29D696}"/>
  </bookViews>
  <sheets>
    <sheet name="Sheet1" sheetId="1" r:id="rId1"/>
  </sheets>
  <definedNames>
    <definedName name="_xlnm._FilterDatabase" localSheetId="0" hidden="1">Sheet1!$A$2:$BZ$2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Z60" i="1" l="1"/>
  <c r="AY60" i="1"/>
  <c r="J60" i="1"/>
  <c r="BA4" i="1"/>
  <c r="BA5" i="1"/>
  <c r="BA6" i="1"/>
  <c r="BA7" i="1"/>
  <c r="BB7" i="1" s="1"/>
  <c r="BA8" i="1"/>
  <c r="BB8" i="1" s="1"/>
  <c r="BA9" i="1"/>
  <c r="BB9" i="1" s="1"/>
  <c r="BA10" i="1"/>
  <c r="BB10" i="1" s="1"/>
  <c r="BA11" i="1"/>
  <c r="BB11" i="1" s="1"/>
  <c r="BA12" i="1"/>
  <c r="BA13" i="1"/>
  <c r="BA14" i="1"/>
  <c r="BB14" i="1" s="1"/>
  <c r="BA15" i="1"/>
  <c r="BA16" i="1"/>
  <c r="BB16" i="1" s="1"/>
  <c r="BA17" i="1"/>
  <c r="BB17" i="1" s="1"/>
  <c r="BA18" i="1"/>
  <c r="BA19" i="1"/>
  <c r="BA20" i="1"/>
  <c r="BB20" i="1" s="1"/>
  <c r="BA21" i="1"/>
  <c r="BB21" i="1" s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BB37" i="1" s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BB52" i="1" s="1"/>
  <c r="AZ53" i="1"/>
  <c r="AZ54" i="1"/>
  <c r="AZ55" i="1"/>
  <c r="AZ56" i="1"/>
  <c r="AZ57" i="1"/>
  <c r="AZ58" i="1"/>
  <c r="AZ59" i="1"/>
  <c r="BB4" i="1"/>
  <c r="BB5" i="1"/>
  <c r="BB12" i="1"/>
  <c r="BB13" i="1"/>
  <c r="BB15" i="1"/>
  <c r="BB18" i="1"/>
  <c r="BB19" i="1"/>
  <c r="BB32" i="1"/>
  <c r="BB46" i="1"/>
  <c r="BB47" i="1"/>
  <c r="BA3" i="1"/>
  <c r="AZ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3" i="1"/>
  <c r="AS4" i="1"/>
  <c r="BD4" i="1" s="1"/>
  <c r="AS5" i="1"/>
  <c r="BD5" i="1" s="1"/>
  <c r="AS6" i="1"/>
  <c r="BD6" i="1" s="1"/>
  <c r="AS7" i="1"/>
  <c r="BD7" i="1" s="1"/>
  <c r="AS8" i="1"/>
  <c r="BD8" i="1" s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BD19" i="1" s="1"/>
  <c r="AS20" i="1"/>
  <c r="BD20" i="1" s="1"/>
  <c r="AS21" i="1"/>
  <c r="BD21" i="1" s="1"/>
  <c r="AS22" i="1"/>
  <c r="BD22" i="1" s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BD30" i="1" s="1"/>
  <c r="AS31" i="1"/>
  <c r="BD31" i="1" s="1"/>
  <c r="AS32" i="1"/>
  <c r="BD32" i="1" s="1"/>
  <c r="AS33" i="1"/>
  <c r="BD33" i="1" s="1"/>
  <c r="AS34" i="1"/>
  <c r="AS35" i="1"/>
  <c r="AS36" i="1"/>
  <c r="BD36" i="1" s="1"/>
  <c r="AS37" i="1"/>
  <c r="AS38" i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BD47" i="1" s="1"/>
  <c r="AS48" i="1"/>
  <c r="AS49" i="1"/>
  <c r="BD49" i="1" s="1"/>
  <c r="AS50" i="1"/>
  <c r="BD50" i="1" s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AE61" i="1"/>
  <c r="BD48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3" i="1"/>
  <c r="BD35" i="1"/>
  <c r="BD37" i="1"/>
  <c r="BD38" i="1"/>
  <c r="BC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3" i="1"/>
  <c r="AD61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D34" i="1"/>
  <c r="BC5" i="1"/>
  <c r="BC6" i="1"/>
  <c r="BC7" i="1"/>
  <c r="BC8" i="1"/>
  <c r="BC9" i="1"/>
  <c r="BC19" i="1"/>
  <c r="BC23" i="1"/>
  <c r="BC33" i="1"/>
  <c r="BB6" i="1" l="1"/>
  <c r="BB3" i="1"/>
  <c r="BB22" i="1"/>
  <c r="BB43" i="1"/>
  <c r="BB29" i="1"/>
  <c r="BB56" i="1"/>
  <c r="BB42" i="1"/>
  <c r="BB28" i="1"/>
  <c r="BB55" i="1"/>
  <c r="BB41" i="1"/>
  <c r="BB27" i="1"/>
  <c r="BB57" i="1"/>
  <c r="BB39" i="1"/>
  <c r="BB38" i="1"/>
  <c r="BB51" i="1"/>
  <c r="BB23" i="1"/>
  <c r="BB36" i="1"/>
  <c r="BB34" i="1"/>
  <c r="BB33" i="1"/>
  <c r="BB59" i="1"/>
  <c r="BB45" i="1"/>
  <c r="BB31" i="1"/>
  <c r="BB54" i="1"/>
  <c r="BB40" i="1"/>
  <c r="BB26" i="1"/>
  <c r="BB53" i="1"/>
  <c r="BB25" i="1"/>
  <c r="BB24" i="1"/>
  <c r="BB50" i="1"/>
  <c r="BB49" i="1"/>
  <c r="BB35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</calcChain>
</file>

<file path=xl/sharedStrings.xml><?xml version="1.0" encoding="utf-8"?>
<sst xmlns="http://schemas.openxmlformats.org/spreadsheetml/2006/main" count="742" uniqueCount="122">
  <si>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</si>
  <si>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</si>
  <si>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</si>
  <si>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</si>
  <si>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</si>
  <si>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</si>
  <si>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</si>
  <si>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</si>
  <si>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</si>
  <si>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</si>
  <si>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</si>
  <si>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</si>
  <si>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</si>
  <si>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</si>
  <si>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</si>
  <si>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</si>
  <si>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</si>
  <si>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</si>
  <si>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</si>
  <si>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</si>
  <si>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</si>
  <si>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</si>
  <si>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</si>
  <si>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</si>
  <si>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</si>
  <si>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</si>
  <si>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</si>
  <si>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</si>
  <si>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</si>
  <si>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</si>
  <si>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</si>
  <si>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</si>
  <si>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</si>
  <si>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</si>
  <si>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</si>
  <si>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</si>
  <si>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</si>
  <si>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</si>
  <si>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</si>
  <si>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</si>
  <si>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</si>
  <si>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</si>
  <si>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</si>
  <si>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</si>
  <si>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</si>
  <si>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</si>
  <si>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</si>
  <si>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</si>
  <si>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</si>
  <si>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</si>
  <si>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</si>
  <si>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</si>
  <si>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</si>
  <si>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</si>
  <si>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</si>
  <si>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</si>
  <si>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</si>
  <si>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</si>
  <si>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</si>
  <si>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</si>
  <si>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</si>
  <si>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</si>
  <si>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</si>
  <si>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</si>
  <si>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</si>
  <si>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</si>
  <si>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</si>
  <si>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</si>
  <si>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</si>
  <si>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</si>
  <si>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</si>
  <si>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</si>
  <si>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</si>
  <si>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</si>
  <si>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</si>
  <si>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</si>
  <si>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</si>
  <si>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</si>
  <si>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</si>
  <si>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</si>
  <si>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</si>
  <si>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</si>
  <si>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</si>
  <si>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</si>
  <si>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</si>
  <si>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</si>
  <si>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</si>
  <si>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</si>
  <si>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</si>
  <si>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</si>
  <si>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</si>
  <si>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</si>
  <si>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</si>
  <si>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</si>
  <si>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</si>
  <si>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</si>
  <si>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</si>
  <si>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</si>
  <si>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</si>
  <si>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</si>
  <si>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</si>
  <si>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</si>
  <si>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</si>
  <si>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</si>
  <si>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</si>
  <si>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</si>
  <si>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</si>
  <si>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</si>
  <si>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</si>
  <si>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</si>
  <si>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</si>
  <si>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</si>
  <si>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</si>
  <si>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</si>
  <si>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</si>
  <si>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</si>
  <si>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</si>
  <si>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</si>
  <si>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</si>
  <si>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</si>
  <si>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</si>
  <si>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Nizar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</si>
</sst>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1"/>
  <sheetViews>
    <sheetView tabSelected="1" workbookViewId="0">
      <pane xSplit="1" ySplit="2" topLeftCell="B50" activePane="bottomRight" state="frozen"/>
      <selection pane="topRight" activeCell="B1" sqref="B1"/>
      <selection pane="bottomLeft" activeCell="A3" sqref="A3"/>
      <selection pane="bottomRight" activeCell="G60" sqref="G60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6" t="s">
        <v>24</v>
      </c>
      <c r="H1" s="26"/>
      <c r="I1" s="26"/>
      <c r="J1" s="26"/>
      <c r="K1" s="26"/>
      <c r="L1" s="26"/>
      <c r="M1" s="26"/>
      <c r="N1" s="26"/>
      <c r="O1" s="26"/>
      <c r="P1" s="26"/>
      <c r="R1" s="26" t="s">
        <v>29</v>
      </c>
      <c r="S1" s="26"/>
      <c r="T1" s="26"/>
      <c r="U1" s="26"/>
      <c r="V1" s="26"/>
      <c r="W1" s="26"/>
      <c r="X1" s="26"/>
      <c r="Y1" s="26"/>
      <c r="Z1" s="26"/>
      <c r="AA1" s="26"/>
      <c r="AC1" s="26" t="s">
        <v>31</v>
      </c>
      <c r="AD1" s="26"/>
      <c r="AE1" s="26"/>
      <c r="AF1" s="26"/>
      <c r="AG1" s="26"/>
      <c r="AH1" s="26"/>
      <c r="AI1" s="26"/>
      <c r="AJ1" s="26"/>
      <c r="AK1" s="26"/>
      <c r="AL1" s="26"/>
      <c r="AN1" s="26" t="s">
        <v>32</v>
      </c>
      <c r="AO1" s="26"/>
      <c r="AP1" s="26"/>
      <c r="AQ1" s="26"/>
      <c r="AR1" s="26"/>
      <c r="AS1" s="26"/>
      <c r="AT1" s="26"/>
      <c r="AU1" s="26"/>
      <c r="AV1" s="26"/>
      <c r="AW1" s="26"/>
      <c r="AY1" s="27" t="s">
        <v>33</v>
      </c>
      <c r="AZ1" s="27"/>
      <c r="BA1" s="27"/>
      <c r="BB1" s="27"/>
      <c r="BC1" s="27"/>
      <c r="BD1" s="27"/>
      <c r="BE1" s="27"/>
      <c r="BF1" s="27"/>
      <c r="BG1" s="27"/>
      <c r="BH1" s="27"/>
      <c r="BJ1" s="26" t="s">
        <v>76</v>
      </c>
      <c r="BK1" s="26"/>
      <c r="BL1" s="26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172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172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172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172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3">
        <f t="shared" ref="BD3:BD34" si="1">AVERAGE(L3,W3,AH3,AS3)</f>
        <v>172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0" si="2">IFERROR(I4/H4,0)</f>
        <v>-5.3475158859134571E-2</v>
      </c>
      <c r="K4" s="3">
        <v>173405.52273207638</v>
      </c>
      <c r="L4" s="17">
        <v>6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59" si="3">IFERROR(T4/S4,0)</f>
        <v>-1.2889529000634083</v>
      </c>
      <c r="V4" s="3">
        <v>190746.07500528404</v>
      </c>
      <c r="W4" s="17">
        <v>6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6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6</v>
      </c>
      <c r="AT4" s="17"/>
      <c r="AU4" s="17"/>
      <c r="AV4" s="3"/>
      <c r="AW4" s="7">
        <v>0</v>
      </c>
      <c r="AY4" s="17">
        <f t="shared" ref="AY4:AZ60" si="5">R4+AC4+AN4+G4</f>
        <v>20</v>
      </c>
      <c r="AZ4" s="17">
        <f t="shared" ref="AZ4:AZ59" si="6">S4+AD4+AO4+H4</f>
        <v>24.876199999999997</v>
      </c>
      <c r="BA4" s="17">
        <f t="shared" ref="BA4:BA59" si="7">T4+AE4+AP4+I4</f>
        <v>-19.862424864875713</v>
      </c>
      <c r="BB4" s="4">
        <f t="shared" ref="BB4:BB59" si="8">IFERROR(BA4/AZ4,0)</f>
        <v>-0.79845092356853997</v>
      </c>
      <c r="BC4" s="3">
        <f t="shared" si="0"/>
        <v>186410.93693698212</v>
      </c>
      <c r="BD4" s="3">
        <f t="shared" si="1"/>
        <v>6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22.799676599999998</v>
      </c>
      <c r="I5" s="3">
        <v>10.683573396464103</v>
      </c>
      <c r="J5" s="4">
        <f t="shared" si="2"/>
        <v>0.46858442704683384</v>
      </c>
      <c r="K5" s="3">
        <v>100967.52669613245</v>
      </c>
      <c r="L5" s="17">
        <v>12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12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12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12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78.799676599999998</v>
      </c>
      <c r="BA5" s="17">
        <f t="shared" si="7"/>
        <v>26.700432824795655</v>
      </c>
      <c r="BB5" s="4">
        <f t="shared" si="8"/>
        <v>0.33883937062751418</v>
      </c>
      <c r="BC5" s="3">
        <f t="shared" si="0"/>
        <v>108540.0911983424</v>
      </c>
      <c r="BD5" s="3">
        <f t="shared" si="1"/>
        <v>12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41.46</v>
      </c>
      <c r="I6" s="3">
        <v>-10.512857798969705</v>
      </c>
      <c r="J6" s="4">
        <f t="shared" si="2"/>
        <v>-0.25356627590375552</v>
      </c>
      <c r="K6" s="3">
        <v>110580.54850844618</v>
      </c>
      <c r="L6" s="17">
        <v>47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47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47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47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207.46</v>
      </c>
      <c r="BA6" s="17">
        <f t="shared" si="7"/>
        <v>-16.023288535569762</v>
      </c>
      <c r="BB6" s="4">
        <f t="shared" si="8"/>
        <v>-7.7235556423261159E-2</v>
      </c>
      <c r="BC6" s="3">
        <f t="shared" si="0"/>
        <v>118874.08964657965</v>
      </c>
      <c r="BD6" s="3">
        <f t="shared" si="1"/>
        <v>47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18</v>
      </c>
      <c r="M7" s="17"/>
      <c r="N7" s="6"/>
      <c r="O7" s="3"/>
      <c r="P7" s="7">
        <v>1.2745666666666666</v>
      </c>
      <c r="Q7" s="15"/>
      <c r="R7" s="7">
        <v>27.4</v>
      </c>
      <c r="S7" s="7">
        <v>27.4</v>
      </c>
      <c r="T7" s="3">
        <v>7.340342613379967</v>
      </c>
      <c r="U7" s="4">
        <f t="shared" si="3"/>
        <v>0.26789571581678712</v>
      </c>
      <c r="V7" s="3">
        <v>111442.54103677796</v>
      </c>
      <c r="W7" s="17">
        <v>18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18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18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113.71849999999999</v>
      </c>
      <c r="BA7" s="17">
        <f t="shared" si="7"/>
        <v>35.303475670485341</v>
      </c>
      <c r="BB7" s="4">
        <f t="shared" si="8"/>
        <v>0.31044619539024293</v>
      </c>
      <c r="BC7" s="3">
        <f t="shared" si="0"/>
        <v>108909.75601321482</v>
      </c>
      <c r="BD7" s="3">
        <f t="shared" si="1"/>
        <v>18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29.1525</v>
      </c>
      <c r="I8" s="3">
        <v>4.4074999999999989</v>
      </c>
      <c r="J8" s="4">
        <f t="shared" si="2"/>
        <v>0.15118771974959261</v>
      </c>
      <c r="K8" s="3">
        <v>101000</v>
      </c>
      <c r="L8" s="17">
        <v>24.5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24.5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24.5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24.5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130.85249999999999</v>
      </c>
      <c r="BA8" s="17">
        <f t="shared" si="7"/>
        <v>24.448999999999991</v>
      </c>
      <c r="BB8" s="4">
        <f t="shared" si="8"/>
        <v>0.18684396553371158</v>
      </c>
      <c r="BC8" s="3">
        <f t="shared" si="0"/>
        <v>108575</v>
      </c>
      <c r="BD8" s="3">
        <f t="shared" si="1"/>
        <v>24.5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25.08</v>
      </c>
      <c r="I9" s="3">
        <v>-0.5778053411884656</v>
      </c>
      <c r="J9" s="4">
        <f t="shared" si="2"/>
        <v>-2.3038490478008995E-2</v>
      </c>
      <c r="K9" s="3">
        <v>80180.641691213954</v>
      </c>
      <c r="L9" s="17">
        <v>32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32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32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32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169.07999999999998</v>
      </c>
      <c r="BA9" s="17">
        <f t="shared" si="7"/>
        <v>58.751437032889598</v>
      </c>
      <c r="BB9" s="4">
        <f t="shared" si="8"/>
        <v>0.34747715302158505</v>
      </c>
      <c r="BC9" s="3">
        <f t="shared" si="0"/>
        <v>86194.189818055005</v>
      </c>
      <c r="BD9" s="3">
        <f t="shared" si="1"/>
        <v>32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9.7707377999999991</v>
      </c>
      <c r="I10" s="3">
        <v>3.446138567772473</v>
      </c>
      <c r="J10" s="4">
        <f t="shared" si="2"/>
        <v>0.35269993303601632</v>
      </c>
      <c r="K10" s="3">
        <v>105409.9872037921</v>
      </c>
      <c r="L10" s="17">
        <v>6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6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6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6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47.770737799999999</v>
      </c>
      <c r="BA10" s="17">
        <f t="shared" si="7"/>
        <v>20.574961101421636</v>
      </c>
      <c r="BB10" s="4">
        <f t="shared" si="8"/>
        <v>0.4307021839930979</v>
      </c>
      <c r="BC10" s="3">
        <f t="shared" si="0"/>
        <v>113315.73624407653</v>
      </c>
      <c r="BD10" s="3">
        <f t="shared" si="1"/>
        <v>6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40.739999999999995</v>
      </c>
      <c r="I11" s="3">
        <v>16.682275115075424</v>
      </c>
      <c r="J11" s="4">
        <f t="shared" si="2"/>
        <v>0.40948147066949991</v>
      </c>
      <c r="K11" s="3">
        <v>92529.711095863735</v>
      </c>
      <c r="L11" s="17">
        <v>26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26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26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26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184.33999999999997</v>
      </c>
      <c r="BA11" s="17">
        <f t="shared" si="7"/>
        <v>80.891782994824339</v>
      </c>
      <c r="BB11" s="4">
        <f t="shared" si="8"/>
        <v>0.43881839532833</v>
      </c>
      <c r="BC11" s="3">
        <f t="shared" si="0"/>
        <v>99469.439428053534</v>
      </c>
      <c r="BD11" s="3">
        <f t="shared" si="1"/>
        <v>26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417</v>
      </c>
      <c r="I12" s="3">
        <v>181.45506157435264</v>
      </c>
      <c r="J12" s="4">
        <f t="shared" si="2"/>
        <v>0.43514403255240441</v>
      </c>
      <c r="K12" s="3">
        <v>139210.95651634005</v>
      </c>
      <c r="L12" s="17">
        <v>169.2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392.27188129999996</v>
      </c>
      <c r="T12" s="3">
        <v>133.17244903178783</v>
      </c>
      <c r="U12" s="4">
        <f t="shared" si="3"/>
        <v>0.33949017347471</v>
      </c>
      <c r="V12" s="3">
        <v>153132.05216797406</v>
      </c>
      <c r="W12" s="17">
        <v>169.2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169.2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169.2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1530.8479106999998</v>
      </c>
      <c r="BA12" s="17">
        <f t="shared" si="7"/>
        <v>518.00467546971618</v>
      </c>
      <c r="BB12" s="4">
        <f t="shared" si="8"/>
        <v>0.33837762187156262</v>
      </c>
      <c r="BC12" s="3">
        <f t="shared" si="0"/>
        <v>149651.77825506555</v>
      </c>
      <c r="BD12" s="3">
        <f t="shared" si="1"/>
        <v>169.2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7.2</v>
      </c>
      <c r="M13" s="17"/>
      <c r="N13" s="6"/>
      <c r="O13" s="3"/>
      <c r="P13" s="7">
        <v>4.9283333333333337</v>
      </c>
      <c r="Q13" s="15"/>
      <c r="R13" s="7">
        <v>27</v>
      </c>
      <c r="S13" s="7">
        <v>27</v>
      </c>
      <c r="T13" s="3">
        <v>16.872312073691592</v>
      </c>
      <c r="U13" s="4">
        <f t="shared" si="3"/>
        <v>0.6249004471737627</v>
      </c>
      <c r="V13" s="3">
        <v>140662.332309839</v>
      </c>
      <c r="W13" s="17">
        <v>7.2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7.2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7.2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84.784999999999997</v>
      </c>
      <c r="BA13" s="17">
        <f t="shared" si="7"/>
        <v>45.194947197158044</v>
      </c>
      <c r="BB13" s="4">
        <f t="shared" si="8"/>
        <v>0.53305357312210944</v>
      </c>
      <c r="BC13" s="3">
        <f t="shared" si="0"/>
        <v>137465.46112097902</v>
      </c>
      <c r="BD13" s="3">
        <f t="shared" si="1"/>
        <v>7.2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4.05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3">
        <f t="shared" si="1"/>
        <v>1.0125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3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11</v>
      </c>
      <c r="M16" s="17"/>
      <c r="N16" s="6"/>
      <c r="O16" s="3"/>
      <c r="P16" s="7">
        <v>2.2652816666666666</v>
      </c>
      <c r="Q16" s="15"/>
      <c r="R16" s="7">
        <v>13</v>
      </c>
      <c r="S16" s="7">
        <v>13</v>
      </c>
      <c r="T16" s="3">
        <v>2.7762673401577427</v>
      </c>
      <c r="U16" s="4">
        <f t="shared" si="3"/>
        <v>0.21355902616598021</v>
      </c>
      <c r="V16" s="3">
        <v>92943.024180384149</v>
      </c>
      <c r="W16" s="17">
        <v>11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11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11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49.59169</v>
      </c>
      <c r="BA16" s="17">
        <f t="shared" si="7"/>
        <v>9.6261896024348133</v>
      </c>
      <c r="BB16" s="4">
        <f t="shared" si="8"/>
        <v>0.19410892434669624</v>
      </c>
      <c r="BC16" s="3">
        <f t="shared" si="0"/>
        <v>90830.682721739053</v>
      </c>
      <c r="BD16" s="3">
        <f t="shared" si="1"/>
        <v>11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364.6077823</v>
      </c>
      <c r="I17" s="3">
        <v>137.39413898733835</v>
      </c>
      <c r="J17" s="4">
        <f t="shared" si="2"/>
        <v>0.37682722546577513</v>
      </c>
      <c r="K17" s="3">
        <v>93889.935253165968</v>
      </c>
      <c r="L17" s="17">
        <v>242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242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242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242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1444.6077823000001</v>
      </c>
      <c r="BA17" s="17">
        <f t="shared" si="7"/>
        <v>467.58911605555488</v>
      </c>
      <c r="BB17" s="4">
        <f t="shared" si="8"/>
        <v>0.32367894025262228</v>
      </c>
      <c r="BC17" s="3">
        <f t="shared" si="0"/>
        <v>100931.68039715342</v>
      </c>
      <c r="BD17" s="3">
        <f t="shared" si="1"/>
        <v>242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76.191083499999991</v>
      </c>
      <c r="I18" s="3">
        <v>36.998225002405718</v>
      </c>
      <c r="J18" s="4">
        <f t="shared" si="2"/>
        <v>0.48559783248660221</v>
      </c>
      <c r="K18" s="3">
        <v>130642.86165864758</v>
      </c>
      <c r="L18" s="17">
        <v>30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30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30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30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256.19108349999999</v>
      </c>
      <c r="BA18" s="17">
        <f t="shared" si="7"/>
        <v>87.661791960344601</v>
      </c>
      <c r="BB18" s="4">
        <f t="shared" si="8"/>
        <v>0.3421734697505372</v>
      </c>
      <c r="BC18" s="3">
        <f t="shared" si="0"/>
        <v>140441.07628304616</v>
      </c>
      <c r="BD18" s="3">
        <f t="shared" si="1"/>
        <v>30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84</v>
      </c>
      <c r="C19" s="3" t="s">
        <v>84</v>
      </c>
      <c r="D19" s="2" t="s">
        <v>118</v>
      </c>
      <c r="E19" s="3" t="s">
        <v>84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36.599999999999994</v>
      </c>
      <c r="M19" s="17"/>
      <c r="N19" s="6"/>
      <c r="O19" s="3"/>
      <c r="P19" s="7">
        <v>2.86625</v>
      </c>
      <c r="Q19" s="15"/>
      <c r="R19" s="7">
        <v>150</v>
      </c>
      <c r="S19" s="7">
        <v>150</v>
      </c>
      <c r="T19" s="3">
        <v>110.21322812529024</v>
      </c>
      <c r="U19" s="4">
        <f t="shared" si="3"/>
        <v>0.73475485416860165</v>
      </c>
      <c r="V19" s="3">
        <v>108707.02698008134</v>
      </c>
      <c r="W19" s="17">
        <v>36.599999999999994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36.599999999999994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36.599999999999994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485.98750000000001</v>
      </c>
      <c r="BA19" s="17">
        <f t="shared" si="7"/>
        <v>330.45739176249822</v>
      </c>
      <c r="BB19" s="4">
        <f t="shared" si="8"/>
        <v>0.67997096995807138</v>
      </c>
      <c r="BC19" s="3">
        <f t="shared" si="0"/>
        <v>106236.41273053404</v>
      </c>
      <c r="BD19" s="3">
        <f t="shared" si="1"/>
        <v>36.599999999999994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26.270800000000001</v>
      </c>
      <c r="I20" s="3">
        <v>14.87647828160393</v>
      </c>
      <c r="J20" s="4">
        <f t="shared" si="2"/>
        <v>0.56627427720525947</v>
      </c>
      <c r="K20" s="3">
        <v>87648.628603046702</v>
      </c>
      <c r="L20" s="17">
        <v>13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24.865000000000002</v>
      </c>
      <c r="T20" s="3">
        <v>12.331246109764322</v>
      </c>
      <c r="U20" s="4">
        <f t="shared" si="3"/>
        <v>0.49592785480652812</v>
      </c>
      <c r="V20" s="3">
        <v>96413.491463351384</v>
      </c>
      <c r="W20" s="17">
        <v>13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13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13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100.48080000000002</v>
      </c>
      <c r="BA20" s="17">
        <f t="shared" si="7"/>
        <v>51.485216610896892</v>
      </c>
      <c r="BB20" s="4">
        <f t="shared" si="8"/>
        <v>0.51238860171193779</v>
      </c>
      <c r="BC20" s="3">
        <f t="shared" si="0"/>
        <v>94222.27574827522</v>
      </c>
      <c r="BD20" s="3">
        <f t="shared" si="1"/>
        <v>13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109.23983000000001</v>
      </c>
      <c r="I21" s="3">
        <v>10.614882712791442</v>
      </c>
      <c r="J21" s="4">
        <f t="shared" si="2"/>
        <v>9.7170443351948105E-2</v>
      </c>
      <c r="K21" s="3">
        <v>92605.584307238096</v>
      </c>
      <c r="L21" s="17">
        <v>106.5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106.5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106.5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106.5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379.23982999999998</v>
      </c>
      <c r="BA21" s="17">
        <f t="shared" si="7"/>
        <v>-44.847443334996896</v>
      </c>
      <c r="BB21" s="4">
        <f t="shared" si="8"/>
        <v>-0.11825615293361169</v>
      </c>
      <c r="BC21" s="3">
        <f t="shared" si="0"/>
        <v>99551.003130280951</v>
      </c>
      <c r="BD21" s="3">
        <f t="shared" si="1"/>
        <v>106.5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4.7450000000000001</v>
      </c>
      <c r="I22" s="3">
        <v>2.6832903000433048</v>
      </c>
      <c r="J22" s="4">
        <f t="shared" si="2"/>
        <v>0.56549848262240354</v>
      </c>
      <c r="K22" s="3">
        <v>103085.48499783476</v>
      </c>
      <c r="L22" s="17">
        <v>2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2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2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2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79.745000000000005</v>
      </c>
      <c r="BA22" s="17">
        <f t="shared" si="7"/>
        <v>70.879648290186211</v>
      </c>
      <c r="BB22" s="4">
        <f t="shared" si="8"/>
        <v>0.88882874525282096</v>
      </c>
      <c r="BC22" s="3">
        <f t="shared" si="0"/>
        <v>110816.89637267237</v>
      </c>
      <c r="BD22" s="3">
        <f t="shared" si="1"/>
        <v>2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3</v>
      </c>
      <c r="M23" s="17"/>
      <c r="N23" s="6"/>
      <c r="O23" s="3"/>
      <c r="P23" s="7">
        <v>0.8948166666666667</v>
      </c>
      <c r="Q23" s="15"/>
      <c r="R23" s="7">
        <v>4</v>
      </c>
      <c r="S23" s="7">
        <v>4</v>
      </c>
      <c r="T23" s="3">
        <v>0.36519116710890964</v>
      </c>
      <c r="U23" s="4">
        <f t="shared" si="3"/>
        <v>9.1297791777227411E-2</v>
      </c>
      <c r="V23" s="3">
        <v>121160.29442970302</v>
      </c>
      <c r="W23" s="17">
        <v>3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3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3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6.68445</v>
      </c>
      <c r="BA23" s="17">
        <f t="shared" si="7"/>
        <v>-7.5243481649378978</v>
      </c>
      <c r="BB23" s="4">
        <f t="shared" si="8"/>
        <v>-1.125649554553912</v>
      </c>
      <c r="BC23" s="3">
        <f t="shared" si="0"/>
        <v>118406.65137448251</v>
      </c>
      <c r="BD23" s="3">
        <f t="shared" si="1"/>
        <v>3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12.710570000000001</v>
      </c>
      <c r="I24" s="3">
        <v>-2.4151834685570144</v>
      </c>
      <c r="J24" s="4">
        <f t="shared" si="2"/>
        <v>-0.19001378132979199</v>
      </c>
      <c r="K24" s="3">
        <v>100838.35645704676</v>
      </c>
      <c r="L24" s="17">
        <v>15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15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15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15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100.71057</v>
      </c>
      <c r="BA24" s="17">
        <f t="shared" si="7"/>
        <v>35.669830085204836</v>
      </c>
      <c r="BB24" s="4">
        <f t="shared" si="8"/>
        <v>0.35418159270873789</v>
      </c>
      <c r="BC24" s="3">
        <f t="shared" si="0"/>
        <v>108401.23319132529</v>
      </c>
      <c r="BD24" s="3">
        <f t="shared" si="1"/>
        <v>15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29.515699999999999</v>
      </c>
      <c r="I25" s="3">
        <v>14.533742816992021</v>
      </c>
      <c r="J25" s="4">
        <f t="shared" si="2"/>
        <v>0.49240718725939148</v>
      </c>
      <c r="K25" s="3">
        <v>99879.714553386511</v>
      </c>
      <c r="L25" s="17">
        <v>15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15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15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15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95.015699999999995</v>
      </c>
      <c r="BA25" s="17">
        <f t="shared" si="7"/>
        <v>30.593284113065689</v>
      </c>
      <c r="BB25" s="4">
        <f t="shared" si="8"/>
        <v>0.32198135795521887</v>
      </c>
      <c r="BC25" s="3">
        <f t="shared" si="0"/>
        <v>107370.69314489051</v>
      </c>
      <c r="BD25" s="3">
        <f t="shared" si="1"/>
        <v>15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48.223479999999995</v>
      </c>
      <c r="I26" s="3">
        <v>-17.374233561904248</v>
      </c>
      <c r="J26" s="4">
        <f t="shared" si="2"/>
        <v>-0.36028576871483042</v>
      </c>
      <c r="K26" s="3">
        <v>117138.77421768615</v>
      </c>
      <c r="L26" s="17">
        <v>56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56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56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56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192.22348</v>
      </c>
      <c r="BA26" s="17">
        <f t="shared" si="7"/>
        <v>-89.846688316188292</v>
      </c>
      <c r="BB26" s="4">
        <f t="shared" si="8"/>
        <v>-0.46740745884003504</v>
      </c>
      <c r="BC26" s="3">
        <f t="shared" si="0"/>
        <v>125924.18228401261</v>
      </c>
      <c r="BD26" s="3">
        <f t="shared" si="1"/>
        <v>56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1</v>
      </c>
      <c r="M27" s="17"/>
      <c r="N27" s="6"/>
      <c r="O27" s="3"/>
      <c r="P27" s="7">
        <v>0</v>
      </c>
      <c r="Q27" s="15"/>
      <c r="R27" s="7">
        <v>4</v>
      </c>
      <c r="S27" s="7">
        <v>4</v>
      </c>
      <c r="T27" s="3">
        <v>2.5665072492101251</v>
      </c>
      <c r="U27" s="4">
        <f t="shared" si="3"/>
        <v>0.64162681230253127</v>
      </c>
      <c r="V27" s="3">
        <v>143349.27507898747</v>
      </c>
      <c r="W27" s="17">
        <v>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7</v>
      </c>
      <c r="BA27" s="17">
        <f t="shared" si="7"/>
        <v>1.3963465196395803</v>
      </c>
      <c r="BB27" s="4">
        <f t="shared" si="8"/>
        <v>0.19947807423422576</v>
      </c>
      <c r="BC27" s="3">
        <f t="shared" si="0"/>
        <v>140091.33700901049</v>
      </c>
      <c r="BD27" s="3">
        <f t="shared" si="1"/>
        <v>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33.29</v>
      </c>
      <c r="I28" s="3">
        <v>-2.2802725438410221E-2</v>
      </c>
      <c r="J28" s="4">
        <f t="shared" si="2"/>
        <v>-6.8497222704746834E-4</v>
      </c>
      <c r="K28" s="3">
        <v>83282.006813596032</v>
      </c>
      <c r="L28" s="17">
        <v>40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40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40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40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179.29</v>
      </c>
      <c r="BA28" s="17">
        <f t="shared" si="7"/>
        <v>36.044948280614832</v>
      </c>
      <c r="BB28" s="4">
        <f t="shared" si="8"/>
        <v>0.20104271448834199</v>
      </c>
      <c r="BC28" s="3">
        <f t="shared" si="0"/>
        <v>89528.157324615735</v>
      </c>
      <c r="BD28" s="3">
        <f t="shared" si="1"/>
        <v>40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18.850709999999999</v>
      </c>
      <c r="I29" s="3">
        <v>-0.41791048643062467</v>
      </c>
      <c r="J29" s="4">
        <f t="shared" si="2"/>
        <v>-2.2169482551618727E-2</v>
      </c>
      <c r="K29" s="3">
        <v>91755.335649669636</v>
      </c>
      <c r="L29" s="17">
        <v>21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21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21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21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66.850709999999992</v>
      </c>
      <c r="BA29" s="17">
        <f t="shared" si="7"/>
        <v>-16.004358091651685</v>
      </c>
      <c r="BB29" s="4">
        <f t="shared" si="8"/>
        <v>-0.23940445945378422</v>
      </c>
      <c r="BC29" s="3">
        <f t="shared" si="0"/>
        <v>98636.985823394876</v>
      </c>
      <c r="BD29" s="3">
        <f t="shared" si="1"/>
        <v>21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3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69</v>
      </c>
      <c r="I31" s="3">
        <v>-7.8140606242287447</v>
      </c>
      <c r="J31" s="4">
        <f t="shared" si="2"/>
        <v>-0.11324725542360499</v>
      </c>
      <c r="K31" s="3">
        <v>92547.060993046674</v>
      </c>
      <c r="L31" s="17">
        <v>83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83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83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83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449</v>
      </c>
      <c r="BA31" s="17">
        <f t="shared" si="7"/>
        <v>118.69953931581642</v>
      </c>
      <c r="BB31" s="4">
        <f t="shared" si="8"/>
        <v>0.26436423010204102</v>
      </c>
      <c r="BC31" s="3">
        <f t="shared" si="0"/>
        <v>99488.090567525171</v>
      </c>
      <c r="BD31" s="3">
        <f t="shared" si="1"/>
        <v>83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82.3</v>
      </c>
      <c r="I32" s="3">
        <v>44.481880147597906</v>
      </c>
      <c r="J32" s="4">
        <f t="shared" si="2"/>
        <v>0.54048457044468901</v>
      </c>
      <c r="K32" s="3">
        <v>87949.115935818816</v>
      </c>
      <c r="L32" s="17">
        <v>43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43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43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43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265.54000000000002</v>
      </c>
      <c r="BA32" s="17">
        <f t="shared" si="7"/>
        <v>102.92208463467099</v>
      </c>
      <c r="BB32" s="4">
        <f t="shared" si="8"/>
        <v>0.38759540797872633</v>
      </c>
      <c r="BC32" s="3">
        <f t="shared" si="0"/>
        <v>94545.29963100524</v>
      </c>
      <c r="BD32" s="3">
        <f t="shared" si="1"/>
        <v>43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3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3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3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3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3">
        <f t="shared" si="1"/>
        <v>3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0</v>
      </c>
      <c r="I34" s="3">
        <v>0</v>
      </c>
      <c r="J34" s="4">
        <f t="shared" si="2"/>
        <v>0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0</v>
      </c>
      <c r="BA34" s="17">
        <f t="shared" si="7"/>
        <v>0</v>
      </c>
      <c r="BB34" s="4">
        <f t="shared" si="8"/>
        <v>0</v>
      </c>
      <c r="BC34" s="3">
        <f t="shared" si="0"/>
        <v>0</v>
      </c>
      <c r="BD34" s="3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7.67</v>
      </c>
      <c r="I35" s="3">
        <v>1.0059072126352868</v>
      </c>
      <c r="J35" s="4">
        <f t="shared" si="2"/>
        <v>0.13114826761868145</v>
      </c>
      <c r="K35" s="3">
        <v>95201.325533781623</v>
      </c>
      <c r="L35" s="17">
        <v>7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7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7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7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40.17</v>
      </c>
      <c r="BA35" s="17">
        <f t="shared" si="7"/>
        <v>11.514401014331728</v>
      </c>
      <c r="BB35" s="4">
        <f t="shared" si="8"/>
        <v>0.28664179771799175</v>
      </c>
      <c r="BC35" s="3">
        <f t="shared" ref="BC35:BC59" si="10">AVERAGE(K35,V35,AG35,AR35)</f>
        <v>102341.42494881524</v>
      </c>
      <c r="BD35" s="3">
        <f t="shared" ref="BD35:BD59" si="11">AVERAGE(L35,W35,AH35,AS35)</f>
        <v>7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19.666775000000001</v>
      </c>
      <c r="I36" s="3">
        <v>6.4909923722805818</v>
      </c>
      <c r="J36" s="4">
        <f t="shared" si="2"/>
        <v>0.33004864154293634</v>
      </c>
      <c r="K36" s="3">
        <v>82348.641423246372</v>
      </c>
      <c r="L36" s="17">
        <v>16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16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16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16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96.375775000000004</v>
      </c>
      <c r="BA36" s="17">
        <f t="shared" si="7"/>
        <v>39.71990970080649</v>
      </c>
      <c r="BB36" s="4">
        <f t="shared" si="8"/>
        <v>0.41213582667227827</v>
      </c>
      <c r="BC36" s="3">
        <f t="shared" si="10"/>
        <v>88524.789529989852</v>
      </c>
      <c r="BD36" s="3">
        <f t="shared" si="11"/>
        <v>16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83.289999999999992</v>
      </c>
      <c r="I37" s="3">
        <v>-31.864374589761098</v>
      </c>
      <c r="J37" s="4">
        <f t="shared" si="2"/>
        <v>-0.38257143222188861</v>
      </c>
      <c r="K37" s="3">
        <v>94388.83163095171</v>
      </c>
      <c r="L37" s="17">
        <v>122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122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122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122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397.28999999999996</v>
      </c>
      <c r="BA37" s="17">
        <f t="shared" si="7"/>
        <v>-97.873810735972697</v>
      </c>
      <c r="BB37" s="4">
        <f t="shared" si="8"/>
        <v>-0.2463535722922115</v>
      </c>
      <c r="BC37" s="3">
        <f t="shared" si="10"/>
        <v>101467.9940032731</v>
      </c>
      <c r="BD37" s="3">
        <f t="shared" si="11"/>
        <v>122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46</v>
      </c>
      <c r="I38" s="3">
        <v>10.783197784832396</v>
      </c>
      <c r="J38" s="4">
        <f t="shared" si="2"/>
        <v>0.23441734314853035</v>
      </c>
      <c r="K38" s="3">
        <v>100619.43490047885</v>
      </c>
      <c r="L38" s="17">
        <v>35</v>
      </c>
      <c r="M38" s="17"/>
      <c r="N38" s="6"/>
      <c r="O38" s="3"/>
      <c r="P38" s="7">
        <v>2.1904761904761907</v>
      </c>
      <c r="Q38" s="15"/>
      <c r="R38" s="7">
        <v>64</v>
      </c>
      <c r="S38" s="7">
        <v>64</v>
      </c>
      <c r="T38" s="3">
        <v>25.261517563315643</v>
      </c>
      <c r="U38" s="4">
        <f t="shared" si="3"/>
        <v>0.39471121192680692</v>
      </c>
      <c r="V38" s="3">
        <v>110681.37839052675</v>
      </c>
      <c r="W38" s="17">
        <v>35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35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35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232</v>
      </c>
      <c r="BA38" s="17">
        <f t="shared" si="7"/>
        <v>80.567750474779331</v>
      </c>
      <c r="BB38" s="4">
        <f t="shared" si="8"/>
        <v>0.34727478652922128</v>
      </c>
      <c r="BC38" s="3">
        <f t="shared" si="10"/>
        <v>108165.89251801478</v>
      </c>
      <c r="BD38" s="3">
        <f t="shared" si="11"/>
        <v>35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15.617506000000001</v>
      </c>
      <c r="I39" s="3">
        <v>7.2049330667986631</v>
      </c>
      <c r="J39" s="4">
        <f t="shared" si="2"/>
        <v>0.46133698087253255</v>
      </c>
      <c r="K39" s="3">
        <v>93473.032591125986</v>
      </c>
      <c r="L39" s="17">
        <v>9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9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9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9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65.617506000000006</v>
      </c>
      <c r="BA39" s="17">
        <f t="shared" si="7"/>
        <v>29.443442387234239</v>
      </c>
      <c r="BB39" s="4">
        <f t="shared" si="8"/>
        <v>0.44871321971966194</v>
      </c>
      <c r="BC39" s="3">
        <f t="shared" si="10"/>
        <v>100483.51003546044</v>
      </c>
      <c r="BD39" s="3">
        <f t="shared" si="11"/>
        <v>9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21.461610400000001</v>
      </c>
      <c r="I40" s="3">
        <v>9.1148821293751645</v>
      </c>
      <c r="J40" s="4">
        <f t="shared" si="2"/>
        <v>0.4247063458656003</v>
      </c>
      <c r="K40" s="3">
        <v>102889.40225520697</v>
      </c>
      <c r="L40" s="17">
        <v>12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12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12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12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67.461610399999998</v>
      </c>
      <c r="BA40" s="17">
        <f t="shared" si="7"/>
        <v>14.370678836313207</v>
      </c>
      <c r="BB40" s="4">
        <f t="shared" si="8"/>
        <v>0.21302009766895821</v>
      </c>
      <c r="BC40" s="3">
        <f t="shared" si="10"/>
        <v>110606.10742434752</v>
      </c>
      <c r="BD40" s="3">
        <f t="shared" si="11"/>
        <v>12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3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28.33</v>
      </c>
      <c r="I42" s="3">
        <v>11.953775311772247</v>
      </c>
      <c r="J42" s="4">
        <f t="shared" si="2"/>
        <v>0.42194759307349977</v>
      </c>
      <c r="K42" s="3">
        <v>109174.83125485166</v>
      </c>
      <c r="L42" s="17">
        <v>15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15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15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15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104.83</v>
      </c>
      <c r="BA42" s="17">
        <f t="shared" si="7"/>
        <v>34.412233840620672</v>
      </c>
      <c r="BB42" s="4">
        <f t="shared" si="8"/>
        <v>0.3282670403569653</v>
      </c>
      <c r="BC42" s="3">
        <f t="shared" si="10"/>
        <v>117362.94359896555</v>
      </c>
      <c r="BD42" s="3">
        <f t="shared" si="11"/>
        <v>15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1</v>
      </c>
      <c r="M43" s="17"/>
      <c r="N43" s="6"/>
      <c r="O43" s="3"/>
      <c r="P43" s="7">
        <v>0.33333333333333331</v>
      </c>
      <c r="Q43" s="15"/>
      <c r="R43" s="7">
        <v>0</v>
      </c>
      <c r="S43" s="7">
        <v>0</v>
      </c>
      <c r="T43" s="3">
        <v>0</v>
      </c>
      <c r="U43" s="4">
        <f t="shared" si="3"/>
        <v>0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1</v>
      </c>
      <c r="BA43" s="17">
        <f t="shared" si="7"/>
        <v>9.9999999999999978E-2</v>
      </c>
      <c r="BB43" s="4">
        <f t="shared" si="8"/>
        <v>9.9999999999999978E-2</v>
      </c>
      <c r="BC43" s="3">
        <f t="shared" si="10"/>
        <v>22500</v>
      </c>
      <c r="BD43" s="3">
        <f t="shared" si="11"/>
        <v>0.25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13.8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13.8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13.8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13.8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3">
        <f t="shared" si="11"/>
        <v>13.8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12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43.296000000000006</v>
      </c>
      <c r="T45" s="3">
        <v>28.030024451322483</v>
      </c>
      <c r="U45" s="4">
        <f t="shared" si="3"/>
        <v>0.64740448196883038</v>
      </c>
      <c r="V45" s="3">
        <v>127216.46290564603</v>
      </c>
      <c r="W45" s="17">
        <v>12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12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12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156.03080000000003</v>
      </c>
      <c r="BA45" s="17">
        <f t="shared" si="7"/>
        <v>96.354713764260623</v>
      </c>
      <c r="BB45" s="4">
        <f t="shared" si="8"/>
        <v>0.61753649769315166</v>
      </c>
      <c r="BC45" s="3">
        <f t="shared" si="10"/>
        <v>124325.17965779043</v>
      </c>
      <c r="BD45" s="3">
        <f t="shared" si="11"/>
        <v>12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25.450000000000003</v>
      </c>
      <c r="I46" s="3">
        <v>11.208902406452644</v>
      </c>
      <c r="J46" s="4">
        <f t="shared" si="2"/>
        <v>0.44042838532230422</v>
      </c>
      <c r="K46" s="3">
        <v>74953.145229196627</v>
      </c>
      <c r="L46" s="17">
        <v>19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20.399999999999999</v>
      </c>
      <c r="T46" s="3">
        <v>4.7347926470979029</v>
      </c>
      <c r="U46" s="4">
        <f t="shared" si="3"/>
        <v>0.23209767877930898</v>
      </c>
      <c r="V46" s="3">
        <v>82448.459752116294</v>
      </c>
      <c r="W46" s="17">
        <v>19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19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19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87.6</v>
      </c>
      <c r="BA46" s="17">
        <f t="shared" si="7"/>
        <v>26.363280347746354</v>
      </c>
      <c r="BB46" s="4">
        <f t="shared" si="8"/>
        <v>0.30095068890121413</v>
      </c>
      <c r="BC46" s="3">
        <f t="shared" si="10"/>
        <v>80574.631121386381</v>
      </c>
      <c r="BD46" s="3">
        <f t="shared" si="11"/>
        <v>19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10.2751</v>
      </c>
      <c r="I47" s="3">
        <v>2.6676429183629997</v>
      </c>
      <c r="J47" s="4">
        <f t="shared" si="2"/>
        <v>0.25962208819018789</v>
      </c>
      <c r="K47" s="3">
        <v>108677.95830910001</v>
      </c>
      <c r="L47" s="17">
        <v>7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7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7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7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46.275100000000002</v>
      </c>
      <c r="BA47" s="17">
        <f t="shared" si="7"/>
        <v>13.563034548960896</v>
      </c>
      <c r="BB47" s="4">
        <f t="shared" si="8"/>
        <v>0.29309573720987953</v>
      </c>
      <c r="BC47" s="3">
        <f t="shared" si="10"/>
        <v>116828.80518228252</v>
      </c>
      <c r="BD47" s="3">
        <f t="shared" si="11"/>
        <v>7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74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74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74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74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3">
        <f t="shared" si="11"/>
        <v>74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57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57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57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57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3">
        <f t="shared" si="11"/>
        <v>57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21.601290000000002</v>
      </c>
      <c r="I50" s="3">
        <v>17.561290000000003</v>
      </c>
      <c r="J50" s="4">
        <f t="shared" si="2"/>
        <v>0.81297413256337936</v>
      </c>
      <c r="K50" s="3">
        <v>101000</v>
      </c>
      <c r="L50" s="17">
        <v>4</v>
      </c>
      <c r="M50" s="17"/>
      <c r="N50" s="6"/>
      <c r="O50" s="3"/>
      <c r="P50" s="7">
        <v>7.2004300000000008</v>
      </c>
      <c r="Q50" s="15"/>
      <c r="R50" s="7">
        <v>24.900000000000002</v>
      </c>
      <c r="S50" s="7"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4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4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4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91.951290000000014</v>
      </c>
      <c r="BA50" s="17">
        <f t="shared" si="7"/>
        <v>74.57929</v>
      </c>
      <c r="BB50" s="4">
        <f t="shared" si="8"/>
        <v>0.81107388487970089</v>
      </c>
      <c r="BC50" s="3">
        <f t="shared" si="10"/>
        <v>108575</v>
      </c>
      <c r="BD50" s="3">
        <f t="shared" si="11"/>
        <v>4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18</v>
      </c>
      <c r="M51" s="17"/>
      <c r="N51" s="6"/>
      <c r="O51" s="3"/>
      <c r="P51" s="7">
        <v>0</v>
      </c>
      <c r="Q51" s="15"/>
      <c r="R51" s="7">
        <v>109.5</v>
      </c>
      <c r="S51" s="7">
        <v>109.5</v>
      </c>
      <c r="T51" s="3">
        <v>88.56046918061314</v>
      </c>
      <c r="U51" s="4">
        <f t="shared" si="3"/>
        <v>0.8087714080421291</v>
      </c>
      <c r="V51" s="3">
        <v>116330.72677437146</v>
      </c>
      <c r="W51" s="17">
        <v>18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18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18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388.5</v>
      </c>
      <c r="BA51" s="17">
        <f t="shared" si="7"/>
        <v>306.64547043330589</v>
      </c>
      <c r="BB51" s="4">
        <f t="shared" si="8"/>
        <v>0.78930623020155954</v>
      </c>
      <c r="BC51" s="3">
        <f t="shared" si="10"/>
        <v>113686.84662040847</v>
      </c>
      <c r="BD51" s="3">
        <f t="shared" si="11"/>
        <v>18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6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6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6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6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3">
        <f t="shared" si="11"/>
        <v>6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1</v>
      </c>
      <c r="T53" s="3">
        <v>1</v>
      </c>
      <c r="U53" s="4">
        <f t="shared" si="3"/>
        <v>1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4</v>
      </c>
      <c r="BA53" s="17">
        <f t="shared" si="7"/>
        <v>4</v>
      </c>
      <c r="BB53" s="4">
        <f t="shared" si="8"/>
        <v>1</v>
      </c>
      <c r="BC53" s="3">
        <f t="shared" si="10"/>
        <v>130703.60833512928</v>
      </c>
      <c r="BD53" s="3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3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12.75</v>
      </c>
      <c r="I55" s="3">
        <v>-19.727263363801356</v>
      </c>
      <c r="J55" s="4">
        <f t="shared" si="2"/>
        <v>-1.5472363422589299</v>
      </c>
      <c r="K55" s="3">
        <v>50745.724005939614</v>
      </c>
      <c r="L55" s="17">
        <v>64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64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64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64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486.49518</v>
      </c>
      <c r="BA55" s="17">
        <f t="shared" si="7"/>
        <v>346.84294753565422</v>
      </c>
      <c r="BB55" s="4">
        <f t="shared" si="8"/>
        <v>0.7129422074349312</v>
      </c>
      <c r="BC55" s="3">
        <f t="shared" si="10"/>
        <v>54551.65330638508</v>
      </c>
      <c r="BD55" s="3">
        <f t="shared" si="11"/>
        <v>64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2.4</v>
      </c>
      <c r="M56" s="17"/>
      <c r="N56" s="6"/>
      <c r="O56" s="3"/>
      <c r="P56" s="7">
        <v>0</v>
      </c>
      <c r="Q56" s="15"/>
      <c r="R56" s="7">
        <v>24</v>
      </c>
      <c r="S56" s="7">
        <v>24</v>
      </c>
      <c r="T56" s="3">
        <v>21.333600000000001</v>
      </c>
      <c r="U56" s="4">
        <f t="shared" si="3"/>
        <v>0.88890000000000002</v>
      </c>
      <c r="V56" s="3">
        <v>111100.00000000001</v>
      </c>
      <c r="W56" s="17">
        <v>2.4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2.4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2.4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117.77106000000001</v>
      </c>
      <c r="BA56" s="17">
        <f t="shared" si="7"/>
        <v>107.34786</v>
      </c>
      <c r="BB56" s="4">
        <f t="shared" si="8"/>
        <v>0.91149608401248994</v>
      </c>
      <c r="BC56" s="3">
        <f t="shared" si="10"/>
        <v>108575</v>
      </c>
      <c r="BD56" s="3">
        <f t="shared" si="11"/>
        <v>2.4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1</v>
      </c>
      <c r="M57" s="17"/>
      <c r="N57" s="6"/>
      <c r="O57" s="3"/>
      <c r="P57" s="7">
        <v>0</v>
      </c>
      <c r="Q57" s="15"/>
      <c r="R57" s="7">
        <v>64</v>
      </c>
      <c r="S57" s="7">
        <v>64</v>
      </c>
      <c r="T57" s="3">
        <v>59.070056744754275</v>
      </c>
      <c r="U57" s="4">
        <f t="shared" si="3"/>
        <v>0.92296963663678555</v>
      </c>
      <c r="V57" s="3">
        <v>492994.3255245724</v>
      </c>
      <c r="W57" s="17">
        <v>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332</v>
      </c>
      <c r="BA57" s="17">
        <f t="shared" si="7"/>
        <v>312.72840363858489</v>
      </c>
      <c r="BB57" s="4">
        <f t="shared" si="8"/>
        <v>0.94195302300778583</v>
      </c>
      <c r="BC57" s="3">
        <f t="shared" si="10"/>
        <v>481789.90903537755</v>
      </c>
      <c r="BD57" s="3">
        <f t="shared" si="11"/>
        <v>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3.5</v>
      </c>
      <c r="M58" s="17"/>
      <c r="N58" s="6"/>
      <c r="O58" s="3"/>
      <c r="P58" s="7">
        <v>0.38095238095238093</v>
      </c>
      <c r="Q58" s="15"/>
      <c r="R58" s="3"/>
      <c r="S58" s="3"/>
      <c r="T58" s="3"/>
      <c r="U58" s="4">
        <f t="shared" si="3"/>
        <v>0</v>
      </c>
      <c r="V58" s="3"/>
      <c r="W58" s="17"/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/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4</v>
      </c>
      <c r="BA58" s="17">
        <f t="shared" si="7"/>
        <v>0.85000000000000009</v>
      </c>
      <c r="BB58" s="4">
        <f t="shared" si="8"/>
        <v>0.21250000000000002</v>
      </c>
      <c r="BC58" s="3">
        <f t="shared" si="10"/>
        <v>94500</v>
      </c>
      <c r="BD58" s="3">
        <f t="shared" si="11"/>
        <v>1.75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1.7</v>
      </c>
      <c r="M59" s="17"/>
      <c r="N59" s="6"/>
      <c r="O59" s="3"/>
      <c r="P59" s="7">
        <v>1.2500000000000002</v>
      </c>
      <c r="Q59" s="15"/>
      <c r="R59" s="3"/>
      <c r="S59" s="3"/>
      <c r="T59" s="3"/>
      <c r="U59" s="4">
        <f t="shared" si="3"/>
        <v>0</v>
      </c>
      <c r="V59" s="3"/>
      <c r="W59" s="17"/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/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5.25</v>
      </c>
      <c r="BA59" s="17">
        <f t="shared" si="7"/>
        <v>3.7199999999999998</v>
      </c>
      <c r="BB59" s="4">
        <f t="shared" si="8"/>
        <v>0.70857142857142852</v>
      </c>
      <c r="BC59" s="3">
        <f t="shared" si="10"/>
        <v>94500</v>
      </c>
      <c r="BD59" s="3">
        <f t="shared" si="11"/>
        <v>0.85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121</v>
      </c>
      <c r="C60" s="16" t="s">
        <v>121</v>
      </c>
      <c r="D60" s="2" t="s">
        <v>119</v>
      </c>
      <c r="E60" s="16" t="s">
        <v>121</v>
      </c>
      <c r="G60" s="23"/>
      <c r="H60" s="24">
        <v>0</v>
      </c>
      <c r="I60" s="16">
        <v>0</v>
      </c>
      <c r="J60" s="25">
        <f t="shared" si="2"/>
        <v>0</v>
      </c>
      <c r="K60" s="16">
        <v>0</v>
      </c>
      <c r="L60" s="24">
        <v>0</v>
      </c>
      <c r="R60">
        <v>575.60266666666666</v>
      </c>
      <c r="AC60">
        <v>742.6486666666666</v>
      </c>
      <c r="AN60">
        <v>995.74866666666662</v>
      </c>
      <c r="AY60" s="17">
        <f t="shared" si="5"/>
        <v>2314</v>
      </c>
      <c r="AZ60" s="17">
        <f t="shared" si="5"/>
        <v>0</v>
      </c>
      <c r="BA60" s="18"/>
      <c r="BB60" s="22"/>
      <c r="BD60" s="18"/>
      <c r="BH60" s="7"/>
    </row>
    <row r="61" spans="1:78" x14ac:dyDescent="0.35">
      <c r="G61" s="18"/>
      <c r="H61" s="18"/>
      <c r="I61" s="18"/>
      <c r="R61" s="18"/>
      <c r="S61" s="18"/>
      <c r="T61" s="18"/>
      <c r="AD61" s="18">
        <f>SUM(AD3:AD59)</f>
        <v>3050.4382926999997</v>
      </c>
      <c r="AE61" s="18">
        <f>SUM(AE3:AE59)</f>
        <v>1111.0013699458748</v>
      </c>
      <c r="AO61" s="18"/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2026-05-17T07:13:48Z</dcterms:modified>
</cp:coreProperties>
</file>